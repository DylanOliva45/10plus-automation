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SOP" sheetId="1" r:id="rId5"/>
    <sheet state="visible" name="Basic" sheetId="2" r:id="rId6"/>
    <sheet state="visible" name="High Level" sheetId="3" r:id="rId7"/>
    <sheet state="visible" name="In Depth" sheetId="4" r:id="rId8"/>
    <sheet state="visible" name="By ConstraintUtilization" sheetId="5" r:id="rId9"/>
    <sheet state="visible" name="Drive Time" sheetId="6" r:id="rId10"/>
  </sheets>
  <definedNames/>
  <calcPr/>
</workbook>
</file>

<file path=xl/sharedStrings.xml><?xml version="1.0" encoding="utf-8"?>
<sst xmlns="http://schemas.openxmlformats.org/spreadsheetml/2006/main" count="684" uniqueCount="141">
  <si>
    <t>ROI Pull SOP</t>
  </si>
  <si>
    <t>Find ROI sheet linked in CHD. If new, create a new spreadsheet and link it. Remember to share to all Probook accounts.</t>
  </si>
  <si>
    <t>Create a new tab in the sheet</t>
  </si>
  <si>
    <t>Check previous ROI pull to ensure data is accurate.</t>
  </si>
  <si>
    <t>Copy the relevant ROI template in the new tab.</t>
  </si>
  <si>
    <t>Fill out the template accordingly. Copy over data from older ROI pull tabs if necessary.</t>
  </si>
  <si>
    <t>Rename tab with date ROI was pulled up to</t>
  </si>
  <si>
    <t>Once complete, update the ROI link in CHD to reflect the same date in step 6</t>
  </si>
  <si>
    <t>How to Pull an ROI</t>
  </si>
  <si>
    <t>Sales/Job Δ Post Probook</t>
  </si>
  <si>
    <t>Jobs</t>
  </si>
  <si>
    <t>Total Sales Lift</t>
  </si>
  <si>
    <t>HVAC</t>
  </si>
  <si>
    <t>Pre Probook</t>
  </si>
  <si>
    <t>Post Probook</t>
  </si>
  <si>
    <t>Plumbing</t>
  </si>
  <si>
    <t>Electrical</t>
  </si>
  <si>
    <t>Drains</t>
  </si>
  <si>
    <t>3/24/24- 9/24/24</t>
  </si>
  <si>
    <t>3/24/25- 9/24/25</t>
  </si>
  <si>
    <t>PB Δ</t>
  </si>
  <si>
    <t>PB - Natural  Δ</t>
  </si>
  <si>
    <t>9/23/24- 3/23/25</t>
  </si>
  <si>
    <t>Total Sales</t>
  </si>
  <si>
    <t>Total Tech Lead Sales</t>
  </si>
  <si>
    <t>Completed Revenue</t>
  </si>
  <si>
    <t>Completed Jobs</t>
  </si>
  <si>
    <t>Total</t>
  </si>
  <si>
    <t>Opportunities</t>
  </si>
  <si>
    <t>Sales Opportunities</t>
  </si>
  <si>
    <t>Converted Jobs</t>
  </si>
  <si>
    <t>Leads Set</t>
  </si>
  <si>
    <t>Conversion Rate</t>
  </si>
  <si>
    <t>Revenue / Job</t>
  </si>
  <si>
    <t>Flip Rate</t>
  </si>
  <si>
    <t>Sales / Jobs</t>
  </si>
  <si>
    <t>Sales / Opps</t>
  </si>
  <si>
    <t>Sales / Sales Opps</t>
  </si>
  <si>
    <t>Sales / Job</t>
  </si>
  <si>
    <t>Revenue + Lead Sales / Jobs</t>
  </si>
  <si>
    <t xml:space="preserve">Report: </t>
  </si>
  <si>
    <t>https://go.servicetitan.com/#/new/reports/273139795</t>
  </si>
  <si>
    <t>https://go.servicetitan.com/#/new/reports/281068903</t>
  </si>
  <si>
    <t>Blended Sales / Jobs</t>
  </si>
  <si>
    <t>Blended Sales / Opps</t>
  </si>
  <si>
    <t>Business Units:</t>
  </si>
  <si>
    <t xml:space="preserve">Plumbing Service - Commerical </t>
  </si>
  <si>
    <t>Electrical Service - Commercial</t>
  </si>
  <si>
    <t>Blended Sales / Sales Opps</t>
  </si>
  <si>
    <t>Plumbing Service - Residential</t>
  </si>
  <si>
    <t>Electrical Service - Residential</t>
  </si>
  <si>
    <t>3/23/23 -9/23/23</t>
  </si>
  <si>
    <t>3/23/24 - 9/23/24</t>
  </si>
  <si>
    <t>Natural Δ</t>
  </si>
  <si>
    <t>https://go.servicetitan.com/#/new/reports/273694807</t>
  </si>
  <si>
    <t xml:space="preserve">HVAC Service - Residential </t>
  </si>
  <si>
    <t xml:space="preserve">MA - Residential </t>
  </si>
  <si>
    <t xml:space="preserve">Multi Year Warranty - Residenital </t>
  </si>
  <si>
    <t>11/4-11/22 2023</t>
  </si>
  <si>
    <t>11/4-11/22 2024</t>
  </si>
  <si>
    <t>1/1-11/3 2023</t>
  </si>
  <si>
    <t>1/1-11/3 2024</t>
  </si>
  <si>
    <t>Opps</t>
  </si>
  <si>
    <t>Sales Opps</t>
  </si>
  <si>
    <t>Natural Sales Growth</t>
  </si>
  <si>
    <t>Probook Sales Growth</t>
  </si>
  <si>
    <t>Probook Sales Growth - Natural</t>
  </si>
  <si>
    <t>Total Jobs</t>
  </si>
  <si>
    <t>Probook Sales Difference</t>
  </si>
  <si>
    <t>* If not HVAC, or if YOY is significantly worse, delete natural growth and show comparisons with YTD, 3 months to data, and one month to date</t>
  </si>
  <si>
    <t>* Remember to change the date</t>
  </si>
  <si>
    <t>Sales Δ Post Probook</t>
  </si>
  <si>
    <t>Total Sales Δ</t>
  </si>
  <si>
    <t>HVAC Demand</t>
  </si>
  <si>
    <t>HVAC Maintenance</t>
  </si>
  <si>
    <t>Demand Mix</t>
  </si>
  <si>
    <t>Water Heater Mix</t>
  </si>
  <si>
    <t>10+ Mix</t>
  </si>
  <si>
    <t>Mainline Mix</t>
  </si>
  <si>
    <t>Electrical Demand</t>
  </si>
  <si>
    <t>Plumbing Demand</t>
  </si>
  <si>
    <t>Mainline</t>
  </si>
  <si>
    <t>Plumbing Water Heaters</t>
  </si>
  <si>
    <t>HVAC Over 10 Demand</t>
  </si>
  <si>
    <t>HVAC Over 10 Maintenance</t>
  </si>
  <si>
    <t>HVAC Under 10 Demand</t>
  </si>
  <si>
    <t>HVAC Under 10 Maintenance</t>
  </si>
  <si>
    <t>Low Utilization Period</t>
  </si>
  <si>
    <t>High Utilization Period I</t>
  </si>
  <si>
    <t>High Utilization Period II</t>
  </si>
  <si>
    <t>10/3-10/20 (2025)</t>
  </si>
  <si>
    <t>10/20- 11/4 (2025)</t>
  </si>
  <si>
    <t>11/5-11/11 (2025)</t>
  </si>
  <si>
    <t>High I to Low Δ</t>
  </si>
  <si>
    <t>Low to High II Δ</t>
  </si>
  <si>
    <t>Usages</t>
  </si>
  <si>
    <t>Days</t>
  </si>
  <si>
    <t>Usages per Day</t>
  </si>
  <si>
    <t>High Utilization Period YOY</t>
  </si>
  <si>
    <t xml:space="preserve">Usages per Day = </t>
  </si>
  <si>
    <t>Pre PB</t>
  </si>
  <si>
    <t>Post PB</t>
  </si>
  <si>
    <t>8/5-9/23 (2023)</t>
  </si>
  <si>
    <t>8/5-9/23 (2024)</t>
  </si>
  <si>
    <t>PB High Usage Δ</t>
  </si>
  <si>
    <t>PB High Usage I - Natural Δ</t>
  </si>
  <si>
    <t>Blended Sales/Job</t>
  </si>
  <si>
    <t>Low Utilization</t>
  </si>
  <si>
    <t>9/24-11/14 (2023)</t>
  </si>
  <si>
    <t>9/24-11/14 (2024)</t>
  </si>
  <si>
    <t>PB Low Usage Δ</t>
  </si>
  <si>
    <t>PB Low Usage - Natural Δ</t>
  </si>
  <si>
    <t>High Utilization</t>
  </si>
  <si>
    <t>11/15-1/31 (2024)</t>
  </si>
  <si>
    <t>11/15-1/31 (2025)</t>
  </si>
  <si>
    <t>PB High Usage II Δ</t>
  </si>
  <si>
    <t>PB High Usage II - Natural Δ</t>
  </si>
  <si>
    <t>2023 Average Pre PB</t>
  </si>
  <si>
    <t>2024 Average Pre PB</t>
  </si>
  <si>
    <t>Natural Growth</t>
  </si>
  <si>
    <t>1/1-8/4 (2023)</t>
  </si>
  <si>
    <t>1/1-8/4 (2024)</t>
  </si>
  <si>
    <t>Report:</t>
  </si>
  <si>
    <t>Pre-Probook</t>
  </si>
  <si>
    <t>Post-Probook</t>
  </si>
  <si>
    <t>12/12-1/12 (2025)</t>
  </si>
  <si>
    <t>1/13-1/31 (2025)</t>
  </si>
  <si>
    <t>Total Drives</t>
  </si>
  <si>
    <t>Drive Time (Hours)</t>
  </si>
  <si>
    <t>Idle Time (Hours)</t>
  </si>
  <si>
    <t>Working Time (Hours)</t>
  </si>
  <si>
    <t>Driving + Idle Hours / Working Hours</t>
  </si>
  <si>
    <t>Driving Hours / Working Hours</t>
  </si>
  <si>
    <t>Idle Time / Job</t>
  </si>
  <si>
    <t>Drive Time per Drive (Minutes)</t>
  </si>
  <si>
    <t>Drive Time per Job (Minutes)</t>
  </si>
  <si>
    <t>* Total drives is the count of rows when you filter for driving hours</t>
  </si>
  <si>
    <t>* Time sheet report</t>
  </si>
  <si>
    <t>* Filter by timesheet activity column</t>
  </si>
  <si>
    <t>* Use duration column sum for total hours</t>
  </si>
  <si>
    <t>* Total drives = count of rows when you filter by drive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</si>
</sst>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000"/>
    <numFmt numFmtId="166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</fills>
  <borders count="3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1" numFmtId="0" xfId="0" applyAlignment="1" applyBorder="1" applyFont="1">
      <alignment horizontal="right"/>
    </xf>
    <xf borderId="12" fillId="0" fontId="3" numFmtId="0" xfId="0" applyAlignment="1" applyBorder="1" applyFont="1">
      <alignment horizontal="right" vertical="bottom"/>
    </xf>
    <xf borderId="13" fillId="0" fontId="3" numFmtId="164" xfId="0" applyAlignment="1" applyBorder="1" applyFont="1" applyNumberFormat="1">
      <alignment horizontal="right" readingOrder="0" vertical="bottom"/>
    </xf>
    <xf borderId="14" fillId="0" fontId="3" numFmtId="164" xfId="0" applyAlignment="1" applyBorder="1" applyFont="1" applyNumberFormat="1">
      <alignment horizontal="right" readingOrder="0" vertical="bottom"/>
    </xf>
    <xf borderId="14" fillId="0" fontId="3" numFmtId="165" xfId="0" applyAlignment="1" applyBorder="1" applyFont="1" applyNumberFormat="1">
      <alignment vertical="bottom"/>
    </xf>
    <xf borderId="15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13" fillId="0" fontId="3" numFmtId="164" xfId="0" applyAlignment="1" applyBorder="1" applyFont="1" applyNumberFormat="1">
      <alignment horizontal="right" vertical="bottom"/>
    </xf>
    <xf borderId="14" fillId="0" fontId="3" numFmtId="164" xfId="0" applyAlignment="1" applyBorder="1" applyFont="1" applyNumberFormat="1">
      <alignment horizontal="right" vertical="bottom"/>
    </xf>
    <xf borderId="14" fillId="0" fontId="3" numFmtId="0" xfId="0" applyAlignment="1" applyBorder="1" applyFont="1">
      <alignment vertical="bottom"/>
    </xf>
    <xf borderId="12" fillId="0" fontId="3" numFmtId="164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horizontal="right" readingOrder="0" vertical="bottom"/>
    </xf>
    <xf borderId="16" fillId="0" fontId="3" numFmtId="164" xfId="0" applyAlignment="1" applyBorder="1" applyFont="1" applyNumberFormat="1">
      <alignment horizontal="right" readingOrder="0" vertical="bottom"/>
    </xf>
    <xf borderId="17" fillId="0" fontId="3" numFmtId="0" xfId="0" applyAlignment="1" applyBorder="1" applyFont="1">
      <alignment vertical="bottom"/>
    </xf>
    <xf borderId="11" fillId="0" fontId="3" numFmtId="164" xfId="0" applyAlignment="1" applyBorder="1" applyFont="1" applyNumberFormat="1">
      <alignment horizontal="right" vertical="bottom"/>
    </xf>
    <xf borderId="16" fillId="0" fontId="3" numFmtId="164" xfId="0" applyAlignment="1" applyBorder="1" applyFont="1" applyNumberFormat="1">
      <alignment horizontal="right" vertical="bottom"/>
    </xf>
    <xf borderId="16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right" readingOrder="0" vertical="bottom"/>
    </xf>
    <xf borderId="16" fillId="0" fontId="3" numFmtId="0" xfId="0" applyAlignment="1" applyBorder="1" applyFont="1">
      <alignment horizontal="right" readingOrder="0" vertical="bottom"/>
    </xf>
    <xf borderId="11" fillId="0" fontId="3" numFmtId="0" xfId="0" applyAlignment="1" applyBorder="1" applyFont="1">
      <alignment horizontal="right" vertical="bottom"/>
    </xf>
    <xf borderId="16" fillId="0" fontId="3" numFmtId="0" xfId="0" applyAlignment="1" applyBorder="1" applyFont="1">
      <alignment horizontal="right" vertical="bottom"/>
    </xf>
    <xf borderId="18" fillId="0" fontId="3" numFmtId="0" xfId="0" applyAlignment="1" applyBorder="1" applyFont="1">
      <alignment vertical="bottom"/>
    </xf>
    <xf borderId="19" fillId="0" fontId="3" numFmtId="0" xfId="0" applyAlignment="1" applyBorder="1" applyFont="1">
      <alignment vertical="bottom"/>
    </xf>
    <xf borderId="19" fillId="0" fontId="3" numFmtId="3" xfId="0" applyAlignment="1" applyBorder="1" applyFont="1" applyNumberFormat="1">
      <alignment vertical="bottom"/>
    </xf>
    <xf borderId="20" fillId="2" fontId="3" numFmtId="164" xfId="0" applyAlignment="1" applyBorder="1" applyFill="1" applyFont="1" applyNumberFormat="1">
      <alignment horizontal="right" vertical="bottom"/>
    </xf>
    <xf borderId="16" fillId="0" fontId="3" numFmtId="3" xfId="0" applyAlignment="1" applyBorder="1" applyFont="1" applyNumberFormat="1">
      <alignment horizontal="right" readingOrder="0" vertical="bottom"/>
    </xf>
    <xf borderId="4" fillId="3" fontId="3" numFmtId="0" xfId="0" applyAlignment="1" applyBorder="1" applyFill="1" applyFont="1">
      <alignment readingOrder="0" vertical="bottom"/>
    </xf>
    <xf borderId="11" fillId="0" fontId="3" numFmtId="10" xfId="0" applyAlignment="1" applyBorder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21" fillId="0" fontId="3" numFmtId="10" xfId="0" applyAlignment="1" applyBorder="1" applyFont="1" applyNumberFormat="1">
      <alignment horizontal="right" vertical="bottom"/>
    </xf>
    <xf borderId="0" fillId="0" fontId="1" numFmtId="10" xfId="0" applyFont="1" applyNumberFormat="1"/>
    <xf borderId="0" fillId="0" fontId="3" numFmtId="164" xfId="0" applyAlignment="1" applyFont="1" applyNumberFormat="1">
      <alignment horizontal="right" vertical="bottom"/>
    </xf>
    <xf borderId="12" fillId="0" fontId="3" numFmtId="10" xfId="0" applyAlignment="1" applyBorder="1" applyFont="1" applyNumberFormat="1">
      <alignment horizontal="right" vertical="bottom"/>
    </xf>
    <xf borderId="17" fillId="0" fontId="3" numFmtId="10" xfId="0" applyAlignment="1" applyBorder="1" applyFont="1" applyNumberFormat="1">
      <alignment horizontal="right" vertical="bottom"/>
    </xf>
    <xf borderId="17" fillId="0" fontId="3" numFmtId="164" xfId="0" applyAlignment="1" applyBorder="1" applyFont="1" applyNumberFormat="1">
      <alignment horizontal="right" vertical="bottom"/>
    </xf>
    <xf borderId="18" fillId="3" fontId="3" numFmtId="0" xfId="0" applyAlignment="1" applyBorder="1" applyFont="1">
      <alignment readingOrder="0" vertical="bottom"/>
    </xf>
    <xf borderId="22" fillId="0" fontId="3" numFmtId="164" xfId="0" applyAlignment="1" applyBorder="1" applyFont="1" applyNumberFormat="1">
      <alignment horizontal="right" vertical="bottom"/>
    </xf>
    <xf borderId="23" fillId="0" fontId="3" numFmtId="164" xfId="0" applyAlignment="1" applyBorder="1" applyFont="1" applyNumberFormat="1">
      <alignment horizontal="right" vertical="bottom"/>
    </xf>
    <xf borderId="20" fillId="0" fontId="3" numFmtId="10" xfId="0" applyAlignment="1" applyBorder="1" applyFont="1" applyNumberFormat="1">
      <alignment horizontal="right" vertical="bottom"/>
    </xf>
    <xf borderId="0" fillId="0" fontId="1" numFmtId="0" xfId="0" applyFont="1"/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24" fillId="0" fontId="3" numFmtId="164" xfId="0" applyAlignment="1" applyBorder="1" applyFont="1" applyNumberFormat="1">
      <alignment horizontal="right" vertical="bottom"/>
    </xf>
    <xf borderId="25" fillId="0" fontId="3" numFmtId="164" xfId="0" applyAlignment="1" applyBorder="1" applyFont="1" applyNumberFormat="1">
      <alignment horizontal="right" vertical="bottom"/>
    </xf>
    <xf borderId="26" fillId="0" fontId="3" numFmtId="164" xfId="0" applyAlignment="1" applyBorder="1" applyFont="1" applyNumberFormat="1">
      <alignment horizontal="right" vertical="bottom"/>
    </xf>
    <xf borderId="16" fillId="0" fontId="3" numFmtId="10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2" fillId="0" fontId="1" numFmtId="0" xfId="0" applyBorder="1" applyFont="1"/>
    <xf borderId="0" fillId="0" fontId="4" numFmtId="0" xfId="0" applyAlignment="1" applyFont="1">
      <alignment horizontal="right" vertical="bottom"/>
    </xf>
    <xf borderId="27" fillId="0" fontId="3" numFmtId="0" xfId="0" applyAlignment="1" applyBorder="1" applyFont="1">
      <alignment vertical="bottom"/>
    </xf>
    <xf borderId="28" fillId="0" fontId="3" numFmtId="164" xfId="0" applyAlignment="1" applyBorder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29" fillId="0" fontId="3" numFmtId="164" xfId="0" applyAlignment="1" applyBorder="1" applyFont="1" applyNumberFormat="1">
      <alignment horizontal="right" vertical="bottom"/>
    </xf>
    <xf borderId="30" fillId="0" fontId="3" numFmtId="10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right" vertical="bottom"/>
    </xf>
    <xf borderId="16" fillId="0" fontId="3" numFmtId="0" xfId="0" applyAlignment="1" applyBorder="1" applyFont="1">
      <alignment horizontal="right" vertical="bottom"/>
    </xf>
    <xf borderId="26" fillId="0" fontId="3" numFmtId="10" xfId="0" applyAlignment="1" applyBorder="1" applyFont="1" applyNumberFormat="1">
      <alignment horizontal="right" vertical="bottom"/>
    </xf>
    <xf borderId="31" fillId="0" fontId="3" numFmtId="10" xfId="0" applyAlignment="1" applyBorder="1" applyFont="1" applyNumberFormat="1">
      <alignment horizontal="right" vertical="bottom"/>
    </xf>
    <xf borderId="32" fillId="0" fontId="3" numFmtId="0" xfId="0" applyAlignment="1" applyBorder="1" applyFont="1">
      <alignment vertical="bottom"/>
    </xf>
    <xf borderId="28" fillId="0" fontId="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29" fillId="0" fontId="3" numFmtId="10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33" fillId="0" fontId="3" numFmtId="164" xfId="0" applyAlignment="1" applyBorder="1" applyFont="1" applyNumberFormat="1">
      <alignment horizontal="right" vertical="bottom"/>
    </xf>
    <xf borderId="21" fillId="0" fontId="3" numFmtId="164" xfId="0" applyAlignment="1" applyBorder="1" applyFont="1" applyNumberFormat="1">
      <alignment horizontal="right" vertical="bottom"/>
    </xf>
    <xf borderId="21" fillId="0" fontId="3" numFmtId="0" xfId="0" applyAlignment="1" applyBorder="1" applyFont="1">
      <alignment horizontal="right" vertical="bottom"/>
    </xf>
    <xf borderId="34" fillId="0" fontId="3" numFmtId="0" xfId="0" applyAlignment="1" applyBorder="1" applyFont="1">
      <alignment vertical="bottom"/>
    </xf>
    <xf borderId="35" fillId="2" fontId="3" numFmtId="164" xfId="0" applyAlignment="1" applyBorder="1" applyFont="1" applyNumberFormat="1">
      <alignment horizontal="right" vertical="bottom"/>
    </xf>
    <xf borderId="6" fillId="0" fontId="3" numFmtId="164" xfId="0" applyAlignment="1" applyBorder="1" applyFont="1" applyNumberFormat="1">
      <alignment vertical="bottom"/>
    </xf>
    <xf borderId="12" fillId="0" fontId="3" numFmtId="164" xfId="0" applyAlignment="1" applyBorder="1" applyFont="1" applyNumberFormat="1">
      <alignment vertical="bottom"/>
    </xf>
    <xf borderId="21" fillId="0" fontId="3" numFmtId="164" xfId="0" applyAlignment="1" applyBorder="1" applyFont="1" applyNumberFormat="1">
      <alignment vertical="bottom"/>
    </xf>
    <xf borderId="13" fillId="0" fontId="3" numFmtId="164" xfId="0" applyAlignment="1" applyBorder="1" applyFont="1" applyNumberFormat="1">
      <alignment vertical="bottom"/>
    </xf>
    <xf borderId="14" fillId="0" fontId="3" numFmtId="164" xfId="0" applyAlignment="1" applyBorder="1" applyFont="1" applyNumberFormat="1">
      <alignment vertical="bottom"/>
    </xf>
    <xf borderId="11" fillId="0" fontId="3" numFmtId="164" xfId="0" applyAlignment="1" applyBorder="1" applyFont="1" applyNumberFormat="1">
      <alignment vertical="bottom"/>
    </xf>
    <xf borderId="16" fillId="0" fontId="3" numFmtId="164" xfId="0" applyAlignment="1" applyBorder="1" applyFont="1" applyNumberFormat="1">
      <alignment vertical="bottom"/>
    </xf>
    <xf borderId="11" fillId="0" fontId="3" numFmtId="0" xfId="0" applyAlignment="1" applyBorder="1" applyFont="1">
      <alignment vertical="bottom"/>
    </xf>
    <xf borderId="20" fillId="2" fontId="3" numFmtId="164" xfId="0" applyAlignment="1" applyBorder="1" applyFont="1" applyNumberFormat="1">
      <alignment vertical="bottom"/>
    </xf>
    <xf borderId="11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16" fillId="0" fontId="3" numFmtId="0" xfId="0" applyAlignment="1" applyBorder="1" applyFont="1">
      <alignment readingOrder="0" vertical="bottom"/>
    </xf>
    <xf borderId="4" fillId="3" fontId="3" numFmtId="0" xfId="0" applyAlignment="1" applyBorder="1" applyFont="1">
      <alignment vertical="bottom"/>
    </xf>
    <xf borderId="18" fillId="3" fontId="3" numFmtId="0" xfId="0" applyAlignment="1" applyBorder="1" applyFont="1">
      <alignment vertical="bottom"/>
    </xf>
    <xf borderId="19" fillId="0" fontId="3" numFmtId="10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28" fillId="0" fontId="3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26" fillId="0" fontId="3" numFmtId="166" xfId="0" applyAlignment="1" applyBorder="1" applyFont="1" applyNumberFormat="1">
      <alignment horizontal="right" vertical="bottom"/>
    </xf>
    <xf borderId="26" fillId="4" fontId="3" numFmtId="10" xfId="0" applyAlignment="1" applyBorder="1" applyFill="1" applyFont="1" applyNumberFormat="1">
      <alignment horizontal="right" vertical="bottom"/>
    </xf>
    <xf borderId="26" fillId="2" fontId="3" numFmtId="10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readingOrder="0" vertical="bottom"/>
    </xf>
    <xf borderId="21" fillId="0" fontId="3" numFmtId="0" xfId="0" applyAlignment="1" applyBorder="1" applyFont="1">
      <alignment vertical="bottom"/>
    </xf>
    <xf borderId="12" fillId="0" fontId="3" numFmtId="3" xfId="0" applyAlignment="1" applyBorder="1" applyFont="1" applyNumberFormat="1">
      <alignment horizontal="right" vertical="bottom"/>
    </xf>
    <xf borderId="19" fillId="0" fontId="3" numFmtId="164" xfId="0" applyAlignment="1" applyBorder="1" applyFont="1" applyNumberFormat="1">
      <alignment horizontal="right" vertical="bottom"/>
    </xf>
    <xf borderId="20" fillId="2" fontId="3" numFmtId="10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1" fillId="0" fontId="3" numFmtId="3" xfId="0" applyAlignment="1" applyBorder="1" applyFont="1" applyNumberFormat="1">
      <alignment horizontal="right" vertical="bottom"/>
    </xf>
    <xf borderId="36" fillId="0" fontId="3" numFmtId="0" xfId="0" applyAlignment="1" applyBorder="1" applyFont="1">
      <alignment vertical="bottom"/>
    </xf>
    <xf borderId="28" fillId="0" fontId="3" numFmtId="0" xfId="0" applyAlignment="1" applyBorder="1" applyFont="1">
      <alignment horizontal="right" vertical="bottom"/>
    </xf>
    <xf borderId="36" fillId="0" fontId="3" numFmtId="0" xfId="0" applyAlignment="1" applyBorder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12" fillId="0" fontId="3" numFmtId="4" xfId="0" applyAlignment="1" applyBorder="1" applyFont="1" applyNumberFormat="1">
      <alignment horizontal="right" vertical="bottom"/>
    </xf>
    <xf borderId="21" fillId="0" fontId="3" numFmtId="10" xfId="0" applyAlignment="1" applyBorder="1" applyFont="1" applyNumberFormat="1">
      <alignment vertical="bottom"/>
    </xf>
    <xf borderId="36" fillId="3" fontId="3" numFmtId="0" xfId="0" applyAlignment="1" applyBorder="1" applyFont="1">
      <alignment readingOrder="0" vertical="bottom"/>
    </xf>
    <xf borderId="0" fillId="0" fontId="3" numFmtId="2" xfId="0" applyAlignment="1" applyFont="1" applyNumberFormat="1">
      <alignment horizontal="right" vertical="bottom"/>
    </xf>
    <xf borderId="21" fillId="2" fontId="3" numFmtId="10" xfId="0" applyAlignment="1" applyBorder="1" applyFont="1" applyNumberFormat="1">
      <alignment horizontal="right" vertical="bottom"/>
    </xf>
    <xf borderId="37" fillId="3" fontId="3" numFmtId="0" xfId="0" applyAlignment="1" applyBorder="1" applyFont="1">
      <alignment vertical="bottom"/>
    </xf>
    <xf borderId="23" fillId="0" fontId="3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thom.video/share/ifjKnoVbGrg5X-akqax4EEuwydWqFpB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o.servicetitan.com/" TargetMode="External"/><Relationship Id="rId2" Type="http://schemas.openxmlformats.org/officeDocument/2006/relationships/hyperlink" Target="https://go.servicetitan.com/" TargetMode="External"/><Relationship Id="rId3" Type="http://schemas.openxmlformats.org/officeDocument/2006/relationships/hyperlink" Target="https://go.servicetitan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2">
      <c r="B2" s="1" t="s">
        <v>0</v>
      </c>
    </row>
    <row r="3">
      <c r="B3" s="1">
        <v>1.0</v>
      </c>
      <c r="C3" s="1" t="s">
        <v>1</v>
      </c>
    </row>
    <row r="4">
      <c r="B4" s="1">
        <v>2.0</v>
      </c>
      <c r="C4" s="1" t="s">
        <v>2</v>
      </c>
    </row>
    <row r="5">
      <c r="B5" s="1">
        <v>3.0</v>
      </c>
      <c r="C5" s="1" t="s">
        <v>3</v>
      </c>
    </row>
    <row r="6">
      <c r="B6" s="1">
        <v>4.0</v>
      </c>
      <c r="C6" s="1" t="s">
        <v>4</v>
      </c>
    </row>
    <row r="7">
      <c r="B7" s="1">
        <v>5.0</v>
      </c>
      <c r="C7" s="1" t="s">
        <v>5</v>
      </c>
    </row>
    <row r="8">
      <c r="B8" s="1">
        <v>6.0</v>
      </c>
      <c r="C8" s="1" t="s">
        <v>6</v>
      </c>
    </row>
    <row r="9">
      <c r="B9" s="1">
        <v>7.0</v>
      </c>
      <c r="C9" s="1" t="s">
        <v>7</v>
      </c>
    </row>
    <row r="12">
      <c r="B12" s="2" t="s">
        <v>8</v>
      </c>
    </row>
  </sheetData>
  <hyperlinks>
    <hyperlink r:id="rId1" ref="B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6.25"/>
    <col customWidth="1" min="4" max="4" width="14.0"/>
    <col customWidth="1" min="6" max="6" width="23.0"/>
    <col customWidth="1" min="7" max="7" width="14.63"/>
    <col customWidth="1" min="12" max="12" width="23.0"/>
    <col customWidth="1" min="18" max="18" width="18.38"/>
    <col customWidth="1" min="24" max="24" width="23.0"/>
  </cols>
  <sheetData>
    <row r="3">
      <c r="A3" s="3"/>
      <c r="B3" s="4" t="s">
        <v>9</v>
      </c>
      <c r="C3" s="5" t="s">
        <v>10</v>
      </c>
      <c r="D3" s="6" t="s">
        <v>11</v>
      </c>
      <c r="F3" s="7" t="s">
        <v>12</v>
      </c>
      <c r="G3" s="8" t="s">
        <v>13</v>
      </c>
      <c r="H3" s="8" t="s">
        <v>14</v>
      </c>
      <c r="I3" s="5"/>
      <c r="J3" s="9"/>
      <c r="L3" s="7" t="s">
        <v>15</v>
      </c>
      <c r="M3" s="8" t="s">
        <v>13</v>
      </c>
      <c r="N3" s="8" t="s">
        <v>14</v>
      </c>
      <c r="O3" s="9"/>
      <c r="R3" s="7" t="s">
        <v>16</v>
      </c>
      <c r="S3" s="8" t="s">
        <v>13</v>
      </c>
      <c r="T3" s="8" t="s">
        <v>14</v>
      </c>
      <c r="U3" s="9"/>
      <c r="X3" s="7" t="s">
        <v>17</v>
      </c>
      <c r="Y3" s="8" t="s">
        <v>13</v>
      </c>
      <c r="Z3" s="8" t="s">
        <v>14</v>
      </c>
      <c r="AA3" s="5"/>
    </row>
    <row r="4">
      <c r="A4" s="10" t="s">
        <v>12</v>
      </c>
      <c r="B4" s="11" t="str">
        <f>H18-G18</f>
        <v>#DIV/0!</v>
      </c>
      <c r="C4" s="12" t="str">
        <f>H8</f>
        <v/>
      </c>
      <c r="D4" s="13" t="str">
        <f>B4*C4</f>
        <v>#DIV/0!</v>
      </c>
      <c r="F4" s="14"/>
      <c r="G4" s="15" t="s">
        <v>18</v>
      </c>
      <c r="H4" s="15" t="s">
        <v>19</v>
      </c>
      <c r="I4" s="16" t="s">
        <v>20</v>
      </c>
      <c r="J4" s="17" t="s">
        <v>21</v>
      </c>
      <c r="L4" s="14"/>
      <c r="M4" s="15" t="s">
        <v>22</v>
      </c>
      <c r="N4" s="15" t="s">
        <v>19</v>
      </c>
      <c r="O4" s="18" t="s">
        <v>20</v>
      </c>
      <c r="R4" s="14"/>
      <c r="S4" s="15" t="s">
        <v>22</v>
      </c>
      <c r="T4" s="15" t="s">
        <v>19</v>
      </c>
      <c r="U4" s="18" t="s">
        <v>20</v>
      </c>
      <c r="X4" s="14"/>
      <c r="Y4" s="15" t="s">
        <v>22</v>
      </c>
      <c r="Z4" s="15" t="s">
        <v>19</v>
      </c>
      <c r="AA4" s="16" t="s">
        <v>20</v>
      </c>
    </row>
    <row r="5">
      <c r="A5" s="10" t="s">
        <v>16</v>
      </c>
      <c r="B5" s="19" t="str">
        <f>T13-S13</f>
        <v>#DIV/0!</v>
      </c>
      <c r="C5" s="20" t="str">
        <f>T7</f>
        <v/>
      </c>
      <c r="D5" s="13" t="str">
        <f>B7*C5</f>
        <v>#DIV/0!</v>
      </c>
      <c r="F5" s="14" t="s">
        <v>23</v>
      </c>
      <c r="G5" s="21"/>
      <c r="H5" s="22"/>
      <c r="I5" s="23" t="str">
        <f t="shared" ref="I5:I20" si="1">(H5-G5)/G5</f>
        <v>#DIV/0!</v>
      </c>
      <c r="J5" s="24" t="str">
        <f t="shared" ref="J5:J12" si="2">I5-I24</f>
        <v>#DIV/0!</v>
      </c>
      <c r="L5" s="14" t="s">
        <v>23</v>
      </c>
      <c r="M5" s="21"/>
      <c r="N5" s="22"/>
      <c r="O5" s="25" t="str">
        <f t="shared" ref="O5:O15" si="3">(N5-M5)/M5</f>
        <v>#DIV/0!</v>
      </c>
      <c r="R5" s="14" t="s">
        <v>23</v>
      </c>
      <c r="S5" s="21"/>
      <c r="T5" s="22"/>
      <c r="U5" s="24"/>
      <c r="X5" s="14" t="s">
        <v>23</v>
      </c>
      <c r="Y5" s="26"/>
      <c r="Z5" s="27"/>
      <c r="AA5" s="28"/>
    </row>
    <row r="6">
      <c r="A6" s="10" t="s">
        <v>17</v>
      </c>
      <c r="B6" s="29" t="str">
        <f>Z18-Y18</f>
        <v>#DIV/0!</v>
      </c>
      <c r="C6" s="20" t="str">
        <f>Z8</f>
        <v/>
      </c>
      <c r="D6" s="13" t="str">
        <f t="shared" ref="D6:D7" si="4">B6*C6</f>
        <v>#DIV/0!</v>
      </c>
      <c r="F6" s="14" t="s">
        <v>24</v>
      </c>
      <c r="G6" s="30"/>
      <c r="H6" s="31"/>
      <c r="I6" s="23" t="str">
        <f t="shared" si="1"/>
        <v>#DIV/0!</v>
      </c>
      <c r="J6" s="24" t="str">
        <f t="shared" si="2"/>
        <v>#DIV/0!</v>
      </c>
      <c r="L6" s="10" t="s">
        <v>25</v>
      </c>
      <c r="M6" s="30"/>
      <c r="N6" s="31"/>
      <c r="O6" s="25" t="str">
        <f t="shared" si="3"/>
        <v>#DIV/0!</v>
      </c>
      <c r="R6" s="10" t="s">
        <v>25</v>
      </c>
      <c r="S6" s="30"/>
      <c r="T6" s="31"/>
      <c r="U6" s="32"/>
      <c r="X6" s="14" t="s">
        <v>24</v>
      </c>
      <c r="Y6" s="33"/>
      <c r="Z6" s="34"/>
      <c r="AA6" s="35"/>
    </row>
    <row r="7">
      <c r="A7" s="10" t="s">
        <v>15</v>
      </c>
      <c r="B7" s="29" t="str">
        <f>N13-M13</f>
        <v>#DIV/0!</v>
      </c>
      <c r="C7" s="20" t="str">
        <f>N7</f>
        <v/>
      </c>
      <c r="D7" s="13" t="str">
        <f t="shared" si="4"/>
        <v>#DIV/0!</v>
      </c>
      <c r="F7" s="10" t="s">
        <v>25</v>
      </c>
      <c r="G7" s="30"/>
      <c r="H7" s="31"/>
      <c r="I7" s="23" t="str">
        <f t="shared" si="1"/>
        <v>#DIV/0!</v>
      </c>
      <c r="J7" s="24" t="str">
        <f t="shared" si="2"/>
        <v>#DIV/0!</v>
      </c>
      <c r="L7" s="14" t="s">
        <v>26</v>
      </c>
      <c r="M7" s="36"/>
      <c r="N7" s="37"/>
      <c r="O7" s="25" t="str">
        <f t="shared" si="3"/>
        <v>#DIV/0!</v>
      </c>
      <c r="R7" s="14" t="s">
        <v>26</v>
      </c>
      <c r="S7" s="36"/>
      <c r="T7" s="37"/>
      <c r="U7" s="32"/>
      <c r="X7" s="10" t="s">
        <v>25</v>
      </c>
      <c r="Y7" s="38"/>
      <c r="Z7" s="39"/>
      <c r="AA7" s="35"/>
    </row>
    <row r="8">
      <c r="A8" s="40" t="s">
        <v>27</v>
      </c>
      <c r="B8" s="41"/>
      <c r="C8" s="42">
        <f t="shared" ref="C8:D8" si="5">SUM(C4:C7)</f>
        <v>0</v>
      </c>
      <c r="D8" s="43" t="str">
        <f t="shared" si="5"/>
        <v>#DIV/0!</v>
      </c>
      <c r="F8" s="14" t="s">
        <v>26</v>
      </c>
      <c r="G8" s="36"/>
      <c r="H8" s="44"/>
      <c r="I8" s="23" t="str">
        <f t="shared" si="1"/>
        <v>#DIV/0!</v>
      </c>
      <c r="J8" s="24" t="str">
        <f t="shared" si="2"/>
        <v>#DIV/0!</v>
      </c>
      <c r="L8" s="10" t="s">
        <v>28</v>
      </c>
      <c r="M8" s="36"/>
      <c r="N8" s="37"/>
      <c r="O8" s="25" t="str">
        <f t="shared" si="3"/>
        <v>#DIV/0!</v>
      </c>
      <c r="R8" s="10" t="s">
        <v>28</v>
      </c>
      <c r="S8" s="36"/>
      <c r="T8" s="37"/>
      <c r="U8" s="32"/>
      <c r="X8" s="14" t="s">
        <v>26</v>
      </c>
      <c r="Y8" s="38"/>
      <c r="Z8" s="39"/>
      <c r="AA8" s="35"/>
    </row>
    <row r="9">
      <c r="F9" s="10" t="s">
        <v>28</v>
      </c>
      <c r="G9" s="36"/>
      <c r="H9" s="37"/>
      <c r="I9" s="23" t="str">
        <f t="shared" si="1"/>
        <v>#DIV/0!</v>
      </c>
      <c r="J9" s="24" t="str">
        <f t="shared" si="2"/>
        <v>#DIV/0!</v>
      </c>
      <c r="L9" s="10" t="s">
        <v>29</v>
      </c>
      <c r="M9" s="36"/>
      <c r="N9" s="37"/>
      <c r="O9" s="25" t="str">
        <f t="shared" si="3"/>
        <v>#DIV/0!</v>
      </c>
      <c r="R9" s="10" t="s">
        <v>29</v>
      </c>
      <c r="S9" s="36"/>
      <c r="T9" s="37"/>
      <c r="U9" s="32"/>
      <c r="X9" s="10" t="s">
        <v>28</v>
      </c>
      <c r="Y9" s="38"/>
      <c r="Z9" s="39"/>
      <c r="AA9" s="35"/>
    </row>
    <row r="10">
      <c r="F10" s="10" t="s">
        <v>29</v>
      </c>
      <c r="G10" s="36"/>
      <c r="H10" s="37"/>
      <c r="I10" s="23" t="str">
        <f t="shared" si="1"/>
        <v>#DIV/0!</v>
      </c>
      <c r="J10" s="24" t="str">
        <f t="shared" si="2"/>
        <v>#DIV/0!</v>
      </c>
      <c r="L10" s="10" t="s">
        <v>30</v>
      </c>
      <c r="M10" s="36"/>
      <c r="N10" s="37"/>
      <c r="O10" s="25" t="str">
        <f t="shared" si="3"/>
        <v>#DIV/0!</v>
      </c>
      <c r="R10" s="10" t="s">
        <v>30</v>
      </c>
      <c r="S10" s="36"/>
      <c r="T10" s="37"/>
      <c r="U10" s="32"/>
      <c r="X10" s="10" t="s">
        <v>29</v>
      </c>
      <c r="Y10" s="38"/>
      <c r="Z10" s="39"/>
      <c r="AA10" s="35"/>
    </row>
    <row r="11">
      <c r="F11" s="10" t="s">
        <v>31</v>
      </c>
      <c r="G11" s="36"/>
      <c r="H11" s="37"/>
      <c r="I11" s="23" t="str">
        <f t="shared" si="1"/>
        <v>#DIV/0!</v>
      </c>
      <c r="J11" s="24" t="str">
        <f t="shared" si="2"/>
        <v>#DIV/0!</v>
      </c>
      <c r="L11" s="45" t="s">
        <v>32</v>
      </c>
      <c r="M11" s="46" t="str">
        <f t="shared" ref="M11:N11" si="6">M10/M7</f>
        <v>#DIV/0!</v>
      </c>
      <c r="N11" s="47" t="str">
        <f t="shared" si="6"/>
        <v>#DIV/0!</v>
      </c>
      <c r="O11" s="48" t="str">
        <f t="shared" si="3"/>
        <v>#DIV/0!</v>
      </c>
      <c r="P11" s="49"/>
      <c r="R11" s="45" t="s">
        <v>32</v>
      </c>
      <c r="S11" s="46" t="str">
        <f t="shared" ref="S11:T11" si="7">S10/S7</f>
        <v>#DIV/0!</v>
      </c>
      <c r="T11" s="47" t="str">
        <f t="shared" si="7"/>
        <v>#DIV/0!</v>
      </c>
      <c r="U11" s="48" t="str">
        <f t="shared" ref="U11:U15" si="10">(T11-S11)/S11</f>
        <v>#DIV/0!</v>
      </c>
      <c r="V11" s="49"/>
      <c r="X11" s="10" t="s">
        <v>31</v>
      </c>
      <c r="Y11" s="38"/>
      <c r="Z11" s="39"/>
      <c r="AA11" s="35"/>
    </row>
    <row r="12">
      <c r="F12" s="10" t="s">
        <v>30</v>
      </c>
      <c r="G12" s="36"/>
      <c r="H12" s="37"/>
      <c r="I12" s="23" t="str">
        <f t="shared" si="1"/>
        <v>#DIV/0!</v>
      </c>
      <c r="J12" s="24" t="str">
        <f t="shared" si="2"/>
        <v>#DIV/0!</v>
      </c>
      <c r="L12" s="45" t="s">
        <v>33</v>
      </c>
      <c r="M12" s="33" t="str">
        <f t="shared" ref="M12:N12" si="8">M6/M7</f>
        <v>#DIV/0!</v>
      </c>
      <c r="N12" s="50" t="str">
        <f t="shared" si="8"/>
        <v>#DIV/0!</v>
      </c>
      <c r="O12" s="48" t="str">
        <f t="shared" si="3"/>
        <v>#DIV/0!</v>
      </c>
      <c r="P12" s="49"/>
      <c r="R12" s="45" t="s">
        <v>33</v>
      </c>
      <c r="S12" s="33" t="str">
        <f t="shared" ref="S12:T12" si="9">S6/S7</f>
        <v>#DIV/0!</v>
      </c>
      <c r="T12" s="50" t="str">
        <f t="shared" si="9"/>
        <v>#DIV/0!</v>
      </c>
      <c r="U12" s="48" t="str">
        <f t="shared" si="10"/>
        <v>#DIV/0!</v>
      </c>
      <c r="V12" s="49"/>
      <c r="X12" s="10" t="s">
        <v>30</v>
      </c>
      <c r="Y12" s="38"/>
      <c r="Z12" s="39"/>
      <c r="AA12" s="35"/>
    </row>
    <row r="13">
      <c r="F13" s="45" t="s">
        <v>34</v>
      </c>
      <c r="G13" s="46" t="str">
        <f t="shared" ref="G13:H13" si="11">G11/G8</f>
        <v>#DIV/0!</v>
      </c>
      <c r="H13" s="47" t="str">
        <f t="shared" si="11"/>
        <v>#DIV/0!</v>
      </c>
      <c r="I13" s="51" t="str">
        <f t="shared" si="1"/>
        <v>#DIV/0!</v>
      </c>
      <c r="J13" s="52" t="str">
        <f t="shared" ref="J13:J20" si="16">(I13-I32)</f>
        <v>#DIV/0!</v>
      </c>
      <c r="L13" s="45" t="s">
        <v>35</v>
      </c>
      <c r="M13" s="33" t="str">
        <f t="shared" ref="M13:N13" si="12">SUM(M5)/M7</f>
        <v>#DIV/0!</v>
      </c>
      <c r="N13" s="50" t="str">
        <f t="shared" si="12"/>
        <v>#DIV/0!</v>
      </c>
      <c r="O13" s="48" t="str">
        <f t="shared" si="3"/>
        <v>#DIV/0!</v>
      </c>
      <c r="P13" s="49"/>
      <c r="R13" s="45" t="s">
        <v>35</v>
      </c>
      <c r="S13" s="33" t="str">
        <f t="shared" ref="S13:T13" si="13">SUM(S5)/S7</f>
        <v>#DIV/0!</v>
      </c>
      <c r="T13" s="50" t="str">
        <f t="shared" si="13"/>
        <v>#DIV/0!</v>
      </c>
      <c r="U13" s="48" t="str">
        <f t="shared" si="10"/>
        <v>#DIV/0!</v>
      </c>
      <c r="V13" s="49"/>
      <c r="X13" s="45" t="s">
        <v>34</v>
      </c>
      <c r="Y13" s="33" t="str">
        <f t="shared" ref="Y13:Z13" si="14">Y11/Y8</f>
        <v>#DIV/0!</v>
      </c>
      <c r="Z13" s="50" t="str">
        <f t="shared" si="14"/>
        <v>#DIV/0!</v>
      </c>
      <c r="AA13" s="51" t="str">
        <f t="shared" ref="AA13:AA20" si="20">(Z13-Y13)/Y13</f>
        <v>#DIV/0!</v>
      </c>
    </row>
    <row r="14">
      <c r="F14" s="45" t="s">
        <v>32</v>
      </c>
      <c r="G14" s="46" t="str">
        <f t="shared" ref="G14:H14" si="15">G12/G8</f>
        <v>#DIV/0!</v>
      </c>
      <c r="H14" s="47" t="str">
        <f t="shared" si="15"/>
        <v>#DIV/0!</v>
      </c>
      <c r="I14" s="51" t="str">
        <f t="shared" si="1"/>
        <v>#DIV/0!</v>
      </c>
      <c r="J14" s="52" t="str">
        <f t="shared" si="16"/>
        <v>#DIV/0!</v>
      </c>
      <c r="L14" s="45" t="s">
        <v>36</v>
      </c>
      <c r="M14" s="33" t="str">
        <f t="shared" ref="M14:N14" si="17">SUM(M5)/M8</f>
        <v>#DIV/0!</v>
      </c>
      <c r="N14" s="50" t="str">
        <f t="shared" si="17"/>
        <v>#DIV/0!</v>
      </c>
      <c r="O14" s="48" t="str">
        <f t="shared" si="3"/>
        <v>#DIV/0!</v>
      </c>
      <c r="P14" s="49"/>
      <c r="R14" s="45" t="s">
        <v>36</v>
      </c>
      <c r="S14" s="33" t="str">
        <f t="shared" ref="S14:T14" si="18">SUM(S5)/S8</f>
        <v>#DIV/0!</v>
      </c>
      <c r="T14" s="50" t="str">
        <f t="shared" si="18"/>
        <v>#DIV/0!</v>
      </c>
      <c r="U14" s="48" t="str">
        <f t="shared" si="10"/>
        <v>#DIV/0!</v>
      </c>
      <c r="V14" s="49"/>
      <c r="X14" s="45" t="s">
        <v>32</v>
      </c>
      <c r="Y14" s="33" t="str">
        <f t="shared" ref="Y14:Z14" si="19">Y12/Y8</f>
        <v>#DIV/0!</v>
      </c>
      <c r="Z14" s="50" t="str">
        <f t="shared" si="19"/>
        <v>#DIV/0!</v>
      </c>
      <c r="AA14" s="51" t="str">
        <f t="shared" si="20"/>
        <v>#DIV/0!</v>
      </c>
    </row>
    <row r="15">
      <c r="F15" s="45" t="s">
        <v>33</v>
      </c>
      <c r="G15" s="33" t="str">
        <f t="shared" ref="G15:H15" si="21">G7/G8</f>
        <v>#DIV/0!</v>
      </c>
      <c r="H15" s="50" t="str">
        <f t="shared" si="21"/>
        <v>#DIV/0!</v>
      </c>
      <c r="I15" s="29" t="str">
        <f t="shared" si="1"/>
        <v>#DIV/0!</v>
      </c>
      <c r="J15" s="53" t="str">
        <f t="shared" si="16"/>
        <v>#DIV/0!</v>
      </c>
      <c r="L15" s="54" t="s">
        <v>37</v>
      </c>
      <c r="M15" s="55" t="str">
        <f t="shared" ref="M15:N15" si="22">M5/M9</f>
        <v>#DIV/0!</v>
      </c>
      <c r="N15" s="56" t="str">
        <f t="shared" si="22"/>
        <v>#DIV/0!</v>
      </c>
      <c r="O15" s="57" t="str">
        <f t="shared" si="3"/>
        <v>#DIV/0!</v>
      </c>
      <c r="P15" s="49"/>
      <c r="R15" s="54" t="s">
        <v>37</v>
      </c>
      <c r="S15" s="55" t="str">
        <f t="shared" ref="S15:T15" si="23">(S5)/S9</f>
        <v>#DIV/0!</v>
      </c>
      <c r="T15" s="56" t="str">
        <f t="shared" si="23"/>
        <v>#DIV/0!</v>
      </c>
      <c r="U15" s="57" t="str">
        <f t="shared" si="10"/>
        <v>#DIV/0!</v>
      </c>
      <c r="V15" s="49"/>
      <c r="X15" s="45" t="s">
        <v>33</v>
      </c>
      <c r="Y15" s="33" t="str">
        <f t="shared" ref="Y15:Z15" si="24">Y7/Y8</f>
        <v>#DIV/0!</v>
      </c>
      <c r="Z15" s="50" t="str">
        <f t="shared" si="24"/>
        <v>#DIV/0!</v>
      </c>
      <c r="AA15" s="51" t="str">
        <f t="shared" si="20"/>
        <v>#DIV/0!</v>
      </c>
    </row>
    <row r="16">
      <c r="F16" s="45" t="s">
        <v>38</v>
      </c>
      <c r="G16" s="33" t="str">
        <f t="shared" ref="G16:H16" si="25">G5/G8</f>
        <v>#DIV/0!</v>
      </c>
      <c r="H16" s="50" t="str">
        <f t="shared" si="25"/>
        <v>#DIV/0!</v>
      </c>
      <c r="I16" s="29" t="str">
        <f t="shared" si="1"/>
        <v>#DIV/0!</v>
      </c>
      <c r="J16" s="53" t="str">
        <f t="shared" si="16"/>
        <v>#DIV/0!</v>
      </c>
      <c r="R16" s="58"/>
      <c r="S16" s="59"/>
      <c r="T16" s="59"/>
      <c r="U16" s="49"/>
      <c r="V16" s="49"/>
      <c r="X16" s="45" t="s">
        <v>38</v>
      </c>
      <c r="Y16" s="33" t="str">
        <f t="shared" ref="Y16:Z16" si="26">Y5/Y8</f>
        <v>#DIV/0!</v>
      </c>
      <c r="Z16" s="50" t="str">
        <f t="shared" si="26"/>
        <v>#DIV/0!</v>
      </c>
      <c r="AA16" s="51" t="str">
        <f t="shared" si="20"/>
        <v>#DIV/0!</v>
      </c>
    </row>
    <row r="17">
      <c r="F17" s="45" t="s">
        <v>39</v>
      </c>
      <c r="G17" s="33" t="str">
        <f t="shared" ref="G17:H17" si="27">SUM(G6:G7)/G8</f>
        <v>#DIV/0!</v>
      </c>
      <c r="H17" s="50" t="str">
        <f t="shared" si="27"/>
        <v>#DIV/0!</v>
      </c>
      <c r="I17" s="29" t="str">
        <f t="shared" si="1"/>
        <v>#DIV/0!</v>
      </c>
      <c r="J17" s="53" t="str">
        <f t="shared" si="16"/>
        <v>#DIV/0!</v>
      </c>
      <c r="L17" s="60" t="s">
        <v>40</v>
      </c>
      <c r="M17" s="61" t="s">
        <v>41</v>
      </c>
      <c r="R17" s="60" t="s">
        <v>40</v>
      </c>
      <c r="S17" s="62" t="s">
        <v>42</v>
      </c>
      <c r="T17" s="59"/>
      <c r="U17" s="49"/>
      <c r="V17" s="49"/>
      <c r="X17" s="45" t="s">
        <v>39</v>
      </c>
      <c r="Y17" s="33" t="str">
        <f t="shared" ref="Y17:Z17" si="28">SUM(Y6:Y7)/Y8</f>
        <v>#DIV/0!</v>
      </c>
      <c r="Z17" s="50" t="str">
        <f t="shared" si="28"/>
        <v>#DIV/0!</v>
      </c>
      <c r="AA17" s="51" t="str">
        <f t="shared" si="20"/>
        <v>#DIV/0!</v>
      </c>
    </row>
    <row r="18">
      <c r="F18" s="45" t="s">
        <v>43</v>
      </c>
      <c r="G18" s="33" t="str">
        <f t="shared" ref="G18:H18" si="29">SUM(G5:G6)/G8</f>
        <v>#DIV/0!</v>
      </c>
      <c r="H18" s="50" t="str">
        <f t="shared" si="29"/>
        <v>#DIV/0!</v>
      </c>
      <c r="I18" s="29" t="str">
        <f t="shared" si="1"/>
        <v>#DIV/0!</v>
      </c>
      <c r="J18" s="53" t="str">
        <f t="shared" si="16"/>
        <v>#DIV/0!</v>
      </c>
      <c r="R18" s="60"/>
      <c r="S18" s="59"/>
      <c r="T18" s="59"/>
      <c r="U18" s="49"/>
      <c r="V18" s="49"/>
      <c r="X18" s="45" t="s">
        <v>43</v>
      </c>
      <c r="Y18" s="33" t="str">
        <f t="shared" ref="Y18:Z18" si="30">SUM(Y5:Y6)/Y8</f>
        <v>#DIV/0!</v>
      </c>
      <c r="Z18" s="50" t="str">
        <f t="shared" si="30"/>
        <v>#DIV/0!</v>
      </c>
      <c r="AA18" s="51" t="str">
        <f t="shared" si="20"/>
        <v>#DIV/0!</v>
      </c>
    </row>
    <row r="19">
      <c r="F19" s="45" t="s">
        <v>44</v>
      </c>
      <c r="G19" s="33" t="str">
        <f t="shared" ref="G19:H19" si="31">SUM(G5:G6)/G9</f>
        <v>#DIV/0!</v>
      </c>
      <c r="H19" s="50" t="str">
        <f t="shared" si="31"/>
        <v>#DIV/0!</v>
      </c>
      <c r="I19" s="29" t="str">
        <f t="shared" si="1"/>
        <v>#DIV/0!</v>
      </c>
      <c r="J19" s="53" t="str">
        <f t="shared" si="16"/>
        <v>#DIV/0!</v>
      </c>
      <c r="L19" s="60" t="s">
        <v>45</v>
      </c>
      <c r="M19" s="1" t="s">
        <v>46</v>
      </c>
      <c r="R19" s="60" t="s">
        <v>45</v>
      </c>
      <c r="S19" s="63" t="s">
        <v>47</v>
      </c>
      <c r="T19" s="59"/>
      <c r="U19" s="49"/>
      <c r="V19" s="49"/>
      <c r="X19" s="45" t="s">
        <v>44</v>
      </c>
      <c r="Y19" s="33" t="str">
        <f t="shared" ref="Y19:Z19" si="32">SUM(Y5:Y6)/Y9</f>
        <v>#DIV/0!</v>
      </c>
      <c r="Z19" s="50" t="str">
        <f t="shared" si="32"/>
        <v>#DIV/0!</v>
      </c>
      <c r="AA19" s="51" t="str">
        <f t="shared" si="20"/>
        <v>#DIV/0!</v>
      </c>
    </row>
    <row r="20">
      <c r="F20" s="45" t="s">
        <v>48</v>
      </c>
      <c r="G20" s="64" t="str">
        <f t="shared" ref="G20:H20" si="33">SUM(G5,G6)/G10</f>
        <v>#DIV/0!</v>
      </c>
      <c r="H20" s="65" t="str">
        <f t="shared" si="33"/>
        <v>#DIV/0!</v>
      </c>
      <c r="I20" s="66" t="str">
        <f t="shared" si="1"/>
        <v>#DIV/0!</v>
      </c>
      <c r="J20" s="53" t="str">
        <f t="shared" si="16"/>
        <v>#DIV/0!</v>
      </c>
      <c r="M20" s="1" t="s">
        <v>49</v>
      </c>
      <c r="R20" s="58"/>
      <c r="S20" s="63" t="s">
        <v>50</v>
      </c>
      <c r="T20" s="59"/>
      <c r="U20" s="49"/>
      <c r="V20" s="49"/>
      <c r="X20" s="45" t="s">
        <v>48</v>
      </c>
      <c r="Y20" s="33" t="str">
        <f t="shared" ref="Y20:Z20" si="34">(Y5+Y6)/Y10</f>
        <v>#DIV/0!</v>
      </c>
      <c r="Z20" s="34" t="str">
        <f t="shared" si="34"/>
        <v>#DIV/0!</v>
      </c>
      <c r="AA20" s="67" t="str">
        <f t="shared" si="20"/>
        <v>#DIV/0!</v>
      </c>
    </row>
    <row r="21">
      <c r="F21" s="14"/>
      <c r="G21" s="68"/>
      <c r="H21" s="68"/>
      <c r="I21" s="68"/>
      <c r="J21" s="32"/>
      <c r="X21" s="69"/>
      <c r="Y21" s="69"/>
      <c r="Z21" s="69"/>
      <c r="AA21" s="69"/>
    </row>
    <row r="22">
      <c r="F22" s="14"/>
      <c r="G22" s="70">
        <v>2023.0</v>
      </c>
      <c r="H22" s="70">
        <v>2024.0</v>
      </c>
      <c r="I22" s="68"/>
      <c r="J22" s="32"/>
    </row>
    <row r="23">
      <c r="F23" s="14"/>
      <c r="G23" s="1" t="s">
        <v>51</v>
      </c>
      <c r="H23" s="1" t="s">
        <v>52</v>
      </c>
      <c r="I23" s="71" t="s">
        <v>53</v>
      </c>
      <c r="J23" s="32"/>
    </row>
    <row r="24">
      <c r="F24" s="14" t="s">
        <v>23</v>
      </c>
      <c r="G24" s="21"/>
      <c r="H24" s="72"/>
      <c r="I24" s="73" t="str">
        <f t="shared" ref="I24:I39" si="35">(H24-G24)/G24</f>
        <v>#DIV/0!</v>
      </c>
      <c r="J24" s="32"/>
      <c r="Y24" s="59"/>
      <c r="Z24" s="59"/>
      <c r="AA24" s="59"/>
    </row>
    <row r="25">
      <c r="F25" s="14" t="s">
        <v>24</v>
      </c>
      <c r="G25" s="30"/>
      <c r="H25" s="74"/>
      <c r="I25" s="73" t="str">
        <f t="shared" si="35"/>
        <v>#DIV/0!</v>
      </c>
      <c r="J25" s="32"/>
      <c r="Y25" s="59"/>
      <c r="Z25" s="59"/>
      <c r="AA25" s="59"/>
    </row>
    <row r="26">
      <c r="F26" s="10" t="s">
        <v>25</v>
      </c>
      <c r="G26" s="30"/>
      <c r="H26" s="74"/>
      <c r="I26" s="73" t="str">
        <f t="shared" si="35"/>
        <v>#DIV/0!</v>
      </c>
      <c r="J26" s="32"/>
      <c r="X26" s="58"/>
      <c r="Y26" s="59"/>
      <c r="Z26" s="59"/>
      <c r="AA26" s="59"/>
    </row>
    <row r="27">
      <c r="F27" s="14" t="s">
        <v>26</v>
      </c>
      <c r="G27" s="36"/>
      <c r="H27" s="75"/>
      <c r="I27" s="73" t="str">
        <f t="shared" si="35"/>
        <v>#DIV/0!</v>
      </c>
      <c r="J27" s="32"/>
      <c r="Y27" s="58"/>
      <c r="Z27" s="58"/>
      <c r="AA27" s="58"/>
    </row>
    <row r="28">
      <c r="F28" s="10" t="s">
        <v>28</v>
      </c>
      <c r="G28" s="36"/>
      <c r="H28" s="75"/>
      <c r="I28" s="73" t="str">
        <f t="shared" si="35"/>
        <v>#DIV/0!</v>
      </c>
      <c r="J28" s="32"/>
      <c r="X28" s="58"/>
      <c r="Y28" s="58"/>
      <c r="Z28" s="58"/>
      <c r="AA28" s="58"/>
    </row>
    <row r="29">
      <c r="F29" s="10" t="s">
        <v>29</v>
      </c>
      <c r="G29" s="36"/>
      <c r="H29" s="75"/>
      <c r="I29" s="73" t="str">
        <f t="shared" si="35"/>
        <v>#DIV/0!</v>
      </c>
      <c r="J29" s="32"/>
      <c r="X29" s="58"/>
      <c r="Y29" s="58"/>
      <c r="Z29" s="58"/>
      <c r="AA29" s="58"/>
    </row>
    <row r="30">
      <c r="F30" s="10" t="s">
        <v>31</v>
      </c>
      <c r="G30" s="36"/>
      <c r="H30" s="75"/>
      <c r="I30" s="73" t="str">
        <f t="shared" si="35"/>
        <v>#DIV/0!</v>
      </c>
      <c r="J30" s="32"/>
      <c r="X30" s="58"/>
      <c r="Y30" s="58"/>
      <c r="Z30" s="58"/>
      <c r="AA30" s="58"/>
    </row>
    <row r="31">
      <c r="F31" s="10" t="s">
        <v>30</v>
      </c>
      <c r="G31" s="36"/>
      <c r="H31" s="75"/>
      <c r="I31" s="73" t="str">
        <f t="shared" si="35"/>
        <v>#DIV/0!</v>
      </c>
      <c r="J31" s="32"/>
      <c r="X31" s="58"/>
      <c r="Y31" s="58"/>
      <c r="Z31" s="58"/>
      <c r="AA31" s="58"/>
    </row>
    <row r="32">
      <c r="F32" s="45" t="s">
        <v>34</v>
      </c>
      <c r="G32" s="46" t="str">
        <f t="shared" ref="G32:H32" si="36">G30/G27</f>
        <v>#DIV/0!</v>
      </c>
      <c r="H32" s="67" t="str">
        <f t="shared" si="36"/>
        <v>#DIV/0!</v>
      </c>
      <c r="I32" s="67" t="str">
        <f t="shared" si="35"/>
        <v>#DIV/0!</v>
      </c>
      <c r="J32" s="52"/>
      <c r="X32" s="58"/>
      <c r="Y32" s="49"/>
      <c r="Z32" s="49"/>
      <c r="AA32" s="49"/>
    </row>
    <row r="33">
      <c r="F33" s="45" t="s">
        <v>32</v>
      </c>
      <c r="G33" s="46" t="str">
        <f t="shared" ref="G33:H33" si="37">G31/G27</f>
        <v>#DIV/0!</v>
      </c>
      <c r="H33" s="67" t="str">
        <f t="shared" si="37"/>
        <v>#DIV/0!</v>
      </c>
      <c r="I33" s="67" t="str">
        <f t="shared" si="35"/>
        <v>#DIV/0!</v>
      </c>
      <c r="J33" s="52"/>
      <c r="X33" s="58"/>
      <c r="Y33" s="49"/>
      <c r="Z33" s="49"/>
      <c r="AA33" s="49"/>
    </row>
    <row r="34">
      <c r="F34" s="45" t="s">
        <v>33</v>
      </c>
      <c r="G34" s="33" t="str">
        <f t="shared" ref="G34:H34" si="38">G26/G27</f>
        <v>#DIV/0!</v>
      </c>
      <c r="H34" s="34" t="str">
        <f t="shared" si="38"/>
        <v>#DIV/0!</v>
      </c>
      <c r="I34" s="34" t="str">
        <f t="shared" si="35"/>
        <v>#DIV/0!</v>
      </c>
      <c r="J34" s="52"/>
      <c r="X34" s="58"/>
      <c r="Y34" s="59"/>
      <c r="Z34" s="59"/>
      <c r="AA34" s="59"/>
    </row>
    <row r="35">
      <c r="F35" s="45" t="s">
        <v>38</v>
      </c>
      <c r="G35" s="33" t="str">
        <f t="shared" ref="G35:H35" si="39">G24/G27</f>
        <v>#DIV/0!</v>
      </c>
      <c r="H35" s="34" t="str">
        <f t="shared" si="39"/>
        <v>#DIV/0!</v>
      </c>
      <c r="I35" s="34" t="str">
        <f t="shared" si="35"/>
        <v>#DIV/0!</v>
      </c>
      <c r="J35" s="52"/>
      <c r="X35" s="58"/>
      <c r="Y35" s="59"/>
      <c r="Z35" s="59"/>
      <c r="AA35" s="59"/>
    </row>
    <row r="36">
      <c r="F36" s="45" t="s">
        <v>39</v>
      </c>
      <c r="G36" s="33" t="str">
        <f t="shared" ref="G36:H36" si="40">SUM(G25:G26)/G27</f>
        <v>#DIV/0!</v>
      </c>
      <c r="H36" s="34" t="str">
        <f t="shared" si="40"/>
        <v>#DIV/0!</v>
      </c>
      <c r="I36" s="34" t="str">
        <f t="shared" si="35"/>
        <v>#DIV/0!</v>
      </c>
      <c r="J36" s="52"/>
      <c r="X36" s="58"/>
      <c r="Y36" s="59"/>
      <c r="Z36" s="59"/>
      <c r="AA36" s="59"/>
    </row>
    <row r="37">
      <c r="F37" s="45" t="s">
        <v>43</v>
      </c>
      <c r="G37" s="33" t="str">
        <f t="shared" ref="G37:H37" si="41">SUM(G24:G25)/G27</f>
        <v>#DIV/0!</v>
      </c>
      <c r="H37" s="34" t="str">
        <f t="shared" si="41"/>
        <v>#DIV/0!</v>
      </c>
      <c r="I37" s="34" t="str">
        <f t="shared" si="35"/>
        <v>#DIV/0!</v>
      </c>
      <c r="J37" s="52"/>
      <c r="X37" s="58"/>
      <c r="Y37" s="59"/>
      <c r="Z37" s="59"/>
      <c r="AA37" s="59"/>
    </row>
    <row r="38">
      <c r="F38" s="45" t="s">
        <v>44</v>
      </c>
      <c r="G38" s="33" t="str">
        <f t="shared" ref="G38:H38" si="42">SUM(G24:G25)/G28</f>
        <v>#DIV/0!</v>
      </c>
      <c r="H38" s="34" t="str">
        <f t="shared" si="42"/>
        <v>#DIV/0!</v>
      </c>
      <c r="I38" s="34" t="str">
        <f t="shared" si="35"/>
        <v>#DIV/0!</v>
      </c>
      <c r="J38" s="52"/>
      <c r="X38" s="58"/>
      <c r="Y38" s="59"/>
      <c r="Z38" s="59"/>
      <c r="AA38" s="59"/>
    </row>
    <row r="39">
      <c r="F39" s="54" t="s">
        <v>48</v>
      </c>
      <c r="G39" s="55" t="str">
        <f t="shared" ref="G39:H39" si="43">(G24+G25)/G29</f>
        <v>#DIV/0!</v>
      </c>
      <c r="H39" s="76" t="str">
        <f t="shared" si="43"/>
        <v>#DIV/0!</v>
      </c>
      <c r="I39" s="76" t="str">
        <f t="shared" si="35"/>
        <v>#DIV/0!</v>
      </c>
      <c r="J39" s="77"/>
      <c r="X39" s="58"/>
      <c r="Y39" s="59"/>
      <c r="Z39" s="59"/>
      <c r="AA39" s="59"/>
    </row>
    <row r="40">
      <c r="X40" s="58"/>
    </row>
    <row r="41">
      <c r="F41" s="60" t="s">
        <v>40</v>
      </c>
      <c r="G41" s="61" t="s">
        <v>54</v>
      </c>
      <c r="X41" s="58"/>
    </row>
    <row r="42">
      <c r="X42" s="58"/>
    </row>
    <row r="43">
      <c r="F43" s="60" t="s">
        <v>45</v>
      </c>
      <c r="G43" s="1" t="s">
        <v>55</v>
      </c>
    </row>
    <row r="44">
      <c r="G44" s="1" t="s">
        <v>56</v>
      </c>
    </row>
    <row r="45">
      <c r="G45" s="1" t="s">
        <v>57</v>
      </c>
    </row>
  </sheetData>
  <conditionalFormatting sqref="I32:I39">
    <cfRule type="cellIs" dxfId="0" priority="1" operator="lessThan">
      <formula>0</formula>
    </cfRule>
  </conditionalFormatting>
  <conditionalFormatting sqref="I32:I39">
    <cfRule type="cellIs" dxfId="1" priority="2" operator="greaterThan">
      <formula>0</formula>
    </cfRule>
  </conditionalFormatting>
  <conditionalFormatting sqref="O11:O15">
    <cfRule type="cellIs" dxfId="1" priority="3" operator="greaterThan">
      <formula>0</formula>
    </cfRule>
  </conditionalFormatting>
  <conditionalFormatting sqref="O11:O15">
    <cfRule type="cellIs" dxfId="0" priority="4" operator="lessThan">
      <formula>0</formula>
    </cfRule>
  </conditionalFormatting>
  <conditionalFormatting sqref="U11:U15">
    <cfRule type="cellIs" dxfId="1" priority="5" operator="greaterThan">
      <formula>0</formula>
    </cfRule>
  </conditionalFormatting>
  <conditionalFormatting sqref="U11:U15">
    <cfRule type="cellIs" dxfId="0" priority="6" operator="lessThan">
      <formula>0</formula>
    </cfRule>
  </conditionalFormatting>
  <conditionalFormatting sqref="AA13:AA20">
    <cfRule type="cellIs" dxfId="1" priority="7" operator="greaterThan">
      <formula>0</formula>
    </cfRule>
  </conditionalFormatting>
  <conditionalFormatting sqref="AA13:AA20">
    <cfRule type="cellIs" dxfId="0" priority="8" operator="lessThan">
      <formula>0</formula>
    </cfRule>
  </conditionalFormatting>
  <conditionalFormatting sqref="I13:J20">
    <cfRule type="cellIs" dxfId="1" priority="9" operator="greaterThan">
      <formula>0</formula>
    </cfRule>
  </conditionalFormatting>
  <conditionalFormatting sqref="I13:J20">
    <cfRule type="cellIs" dxfId="0" priority="10" operator="lessThan">
      <formula>0</formula>
    </cfRule>
  </conditionalFormatting>
  <hyperlinks>
    <hyperlink r:id="rId1" location="/new/reports/273139795" ref="M17"/>
    <hyperlink r:id="rId2" location="/new/reports/281068903" ref="S17"/>
    <hyperlink r:id="rId3" location="/new/reports/273694807" ref="G4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5" max="5" width="24.63"/>
    <col customWidth="1" min="8" max="8" width="24.63"/>
  </cols>
  <sheetData>
    <row r="2">
      <c r="B2" s="60"/>
    </row>
    <row r="3">
      <c r="B3" s="78"/>
      <c r="C3" s="8" t="s">
        <v>13</v>
      </c>
      <c r="D3" s="8" t="s">
        <v>14</v>
      </c>
      <c r="E3" s="5"/>
      <c r="F3" s="9"/>
      <c r="H3" s="60" t="s">
        <v>40</v>
      </c>
    </row>
    <row r="4">
      <c r="B4" s="14"/>
      <c r="C4" s="79" t="s">
        <v>58</v>
      </c>
      <c r="D4" s="79" t="s">
        <v>59</v>
      </c>
      <c r="E4" s="16" t="s">
        <v>20</v>
      </c>
      <c r="F4" s="17" t="s">
        <v>21</v>
      </c>
      <c r="H4" s="60"/>
    </row>
    <row r="5">
      <c r="B5" s="14" t="s">
        <v>23</v>
      </c>
      <c r="C5" s="26"/>
      <c r="D5" s="22"/>
      <c r="E5" s="28"/>
      <c r="F5" s="24"/>
      <c r="H5" s="60" t="s">
        <v>45</v>
      </c>
    </row>
    <row r="6">
      <c r="B6" s="14" t="s">
        <v>24</v>
      </c>
      <c r="C6" s="33"/>
      <c r="D6" s="31"/>
      <c r="E6" s="35"/>
      <c r="F6" s="32"/>
    </row>
    <row r="7">
      <c r="B7" s="10" t="s">
        <v>25</v>
      </c>
      <c r="C7" s="33"/>
      <c r="D7" s="34"/>
      <c r="E7" s="35"/>
      <c r="F7" s="32"/>
    </row>
    <row r="8">
      <c r="B8" s="14" t="s">
        <v>26</v>
      </c>
      <c r="C8" s="80"/>
      <c r="D8" s="37"/>
      <c r="E8" s="35"/>
      <c r="F8" s="32"/>
    </row>
    <row r="9">
      <c r="B9" s="10" t="s">
        <v>28</v>
      </c>
      <c r="C9" s="80"/>
      <c r="D9" s="37"/>
      <c r="E9" s="35"/>
      <c r="F9" s="32"/>
    </row>
    <row r="10">
      <c r="B10" s="10" t="s">
        <v>29</v>
      </c>
      <c r="C10" s="80"/>
      <c r="D10" s="37"/>
      <c r="E10" s="35"/>
      <c r="F10" s="32"/>
    </row>
    <row r="11">
      <c r="B11" s="10" t="s">
        <v>31</v>
      </c>
      <c r="C11" s="80"/>
      <c r="D11" s="81"/>
      <c r="E11" s="35"/>
      <c r="F11" s="32"/>
    </row>
    <row r="12">
      <c r="B12" s="10" t="s">
        <v>30</v>
      </c>
      <c r="C12" s="80"/>
      <c r="D12" s="81"/>
      <c r="E12" s="35"/>
      <c r="F12" s="32"/>
    </row>
    <row r="13">
      <c r="B13" s="45" t="s">
        <v>34</v>
      </c>
      <c r="C13" s="46" t="str">
        <f t="shared" ref="C13:D13" si="1">C11/C8</f>
        <v>#DIV/0!</v>
      </c>
      <c r="D13" s="47" t="str">
        <f t="shared" si="1"/>
        <v>#DIV/0!</v>
      </c>
      <c r="E13" s="51" t="str">
        <f t="shared" ref="E13:E20" si="3">(D13-C13)/C13</f>
        <v>#DIV/0!</v>
      </c>
      <c r="F13" s="52" t="str">
        <f t="shared" ref="F13:F20" si="4">(E13-#REF!)</f>
        <v>#DIV/0!</v>
      </c>
    </row>
    <row r="14">
      <c r="B14" s="45" t="s">
        <v>32</v>
      </c>
      <c r="C14" s="46" t="str">
        <f t="shared" ref="C14:D14" si="2">C12/C8</f>
        <v>#DIV/0!</v>
      </c>
      <c r="D14" s="47" t="str">
        <f t="shared" si="2"/>
        <v>#DIV/0!</v>
      </c>
      <c r="E14" s="51" t="str">
        <f t="shared" si="3"/>
        <v>#DIV/0!</v>
      </c>
      <c r="F14" s="52" t="str">
        <f t="shared" si="4"/>
        <v>#DIV/0!</v>
      </c>
    </row>
    <row r="15">
      <c r="B15" s="45" t="s">
        <v>33</v>
      </c>
      <c r="C15" s="33" t="str">
        <f t="shared" ref="C15:D15" si="5">C7/C8</f>
        <v>#DIV/0!</v>
      </c>
      <c r="D15" s="50" t="str">
        <f t="shared" si="5"/>
        <v>#DIV/0!</v>
      </c>
      <c r="E15" s="51" t="str">
        <f t="shared" si="3"/>
        <v>#DIV/0!</v>
      </c>
      <c r="F15" s="52" t="str">
        <f t="shared" si="4"/>
        <v>#DIV/0!</v>
      </c>
    </row>
    <row r="16">
      <c r="B16" s="45" t="s">
        <v>38</v>
      </c>
      <c r="C16" s="33" t="str">
        <f t="shared" ref="C16:D16" si="6">C5/C8</f>
        <v>#DIV/0!</v>
      </c>
      <c r="D16" s="50" t="str">
        <f t="shared" si="6"/>
        <v>#DIV/0!</v>
      </c>
      <c r="E16" s="51" t="str">
        <f t="shared" si="3"/>
        <v>#DIV/0!</v>
      </c>
      <c r="F16" s="52" t="str">
        <f t="shared" si="4"/>
        <v>#DIV/0!</v>
      </c>
    </row>
    <row r="17">
      <c r="B17" s="45" t="s">
        <v>39</v>
      </c>
      <c r="C17" s="33" t="str">
        <f t="shared" ref="C17:D17" si="7">SUM(C6:C7)/C8</f>
        <v>#DIV/0!</v>
      </c>
      <c r="D17" s="50" t="str">
        <f t="shared" si="7"/>
        <v>#DIV/0!</v>
      </c>
      <c r="E17" s="51" t="str">
        <f t="shared" si="3"/>
        <v>#DIV/0!</v>
      </c>
      <c r="F17" s="52" t="str">
        <f t="shared" si="4"/>
        <v>#DIV/0!</v>
      </c>
    </row>
    <row r="18">
      <c r="B18" s="45" t="s">
        <v>43</v>
      </c>
      <c r="C18" s="33" t="str">
        <f t="shared" ref="C18:D18" si="8">SUM(C5:C6)/C8</f>
        <v>#DIV/0!</v>
      </c>
      <c r="D18" s="50" t="str">
        <f t="shared" si="8"/>
        <v>#DIV/0!</v>
      </c>
      <c r="E18" s="51" t="str">
        <f t="shared" si="3"/>
        <v>#DIV/0!</v>
      </c>
      <c r="F18" s="52" t="str">
        <f t="shared" si="4"/>
        <v>#DIV/0!</v>
      </c>
    </row>
    <row r="19">
      <c r="B19" s="45" t="s">
        <v>44</v>
      </c>
      <c r="C19" s="33" t="str">
        <f t="shared" ref="C19:D19" si="9">SUM(C5:C6)/C9</f>
        <v>#DIV/0!</v>
      </c>
      <c r="D19" s="50" t="str">
        <f t="shared" si="9"/>
        <v>#DIV/0!</v>
      </c>
      <c r="E19" s="51" t="str">
        <f t="shared" si="3"/>
        <v>#DIV/0!</v>
      </c>
      <c r="F19" s="52" t="str">
        <f t="shared" si="4"/>
        <v>#DIV/0!</v>
      </c>
    </row>
    <row r="20">
      <c r="B20" s="45" t="s">
        <v>48</v>
      </c>
      <c r="C20" s="64" t="str">
        <f t="shared" ref="C20:D20" si="10">(C5+C6)/C10</f>
        <v>#DIV/0!</v>
      </c>
      <c r="D20" s="65" t="str">
        <f t="shared" si="10"/>
        <v>#DIV/0!</v>
      </c>
      <c r="E20" s="82" t="str">
        <f t="shared" si="3"/>
        <v>#DIV/0!</v>
      </c>
      <c r="F20" s="83" t="str">
        <f t="shared" si="4"/>
        <v>#DIV/0!</v>
      </c>
    </row>
    <row r="21">
      <c r="B21" s="14"/>
      <c r="C21" s="68"/>
      <c r="D21" s="68"/>
      <c r="E21" s="68"/>
      <c r="F21" s="32"/>
    </row>
    <row r="22">
      <c r="B22" s="14"/>
      <c r="C22" s="70">
        <v>2023.0</v>
      </c>
      <c r="D22" s="70">
        <v>2024.0</v>
      </c>
      <c r="E22" s="68"/>
      <c r="F22" s="32"/>
    </row>
    <row r="23">
      <c r="B23" s="14"/>
      <c r="C23" s="79" t="s">
        <v>60</v>
      </c>
      <c r="D23" s="84" t="s">
        <v>61</v>
      </c>
      <c r="E23" s="71" t="s">
        <v>53</v>
      </c>
      <c r="F23" s="32"/>
    </row>
    <row r="24">
      <c r="B24" s="14" t="s">
        <v>23</v>
      </c>
      <c r="C24" s="26"/>
      <c r="D24" s="85"/>
      <c r="E24" s="86"/>
      <c r="F24" s="32"/>
    </row>
    <row r="25">
      <c r="B25" s="14" t="s">
        <v>24</v>
      </c>
      <c r="C25" s="33"/>
      <c r="D25" s="50"/>
      <c r="E25" s="87"/>
      <c r="F25" s="32"/>
    </row>
    <row r="26">
      <c r="B26" s="10" t="s">
        <v>25</v>
      </c>
      <c r="C26" s="33"/>
      <c r="D26" s="50"/>
      <c r="E26" s="87"/>
      <c r="F26" s="32"/>
    </row>
    <row r="27">
      <c r="B27" s="14" t="s">
        <v>26</v>
      </c>
      <c r="C27" s="80"/>
      <c r="D27" s="88"/>
      <c r="E27" s="87"/>
      <c r="F27" s="32"/>
    </row>
    <row r="28">
      <c r="B28" s="10" t="s">
        <v>28</v>
      </c>
      <c r="C28" s="80"/>
      <c r="D28" s="88"/>
      <c r="E28" s="87"/>
      <c r="F28" s="32"/>
    </row>
    <row r="29">
      <c r="B29" s="10" t="s">
        <v>29</v>
      </c>
      <c r="C29" s="80"/>
      <c r="D29" s="88"/>
      <c r="E29" s="87"/>
      <c r="F29" s="32"/>
    </row>
    <row r="30">
      <c r="B30" s="10" t="s">
        <v>31</v>
      </c>
      <c r="C30" s="80"/>
      <c r="D30" s="88"/>
      <c r="E30" s="87"/>
      <c r="F30" s="32"/>
    </row>
    <row r="31">
      <c r="B31" s="10" t="s">
        <v>30</v>
      </c>
      <c r="C31" s="80"/>
      <c r="D31" s="88"/>
      <c r="E31" s="87"/>
      <c r="F31" s="32"/>
    </row>
    <row r="32">
      <c r="B32" s="45" t="s">
        <v>34</v>
      </c>
      <c r="C32" s="46" t="str">
        <f t="shared" ref="C32:D32" si="11">C30/C27</f>
        <v>#DIV/0!</v>
      </c>
      <c r="D32" s="67" t="str">
        <f t="shared" si="11"/>
        <v>#DIV/0!</v>
      </c>
      <c r="E32" s="67" t="str">
        <f t="shared" ref="E32:E39" si="13">(D32-C32)/C32</f>
        <v>#DIV/0!</v>
      </c>
      <c r="F32" s="52"/>
    </row>
    <row r="33">
      <c r="B33" s="45" t="s">
        <v>32</v>
      </c>
      <c r="C33" s="46" t="str">
        <f t="shared" ref="C33:D33" si="12">C31/C27</f>
        <v>#DIV/0!</v>
      </c>
      <c r="D33" s="67" t="str">
        <f t="shared" si="12"/>
        <v>#DIV/0!</v>
      </c>
      <c r="E33" s="67" t="str">
        <f t="shared" si="13"/>
        <v>#DIV/0!</v>
      </c>
      <c r="F33" s="52"/>
    </row>
    <row r="34">
      <c r="B34" s="45" t="s">
        <v>33</v>
      </c>
      <c r="C34" s="33" t="str">
        <f t="shared" ref="C34:D34" si="14">C26/C27</f>
        <v>#DIV/0!</v>
      </c>
      <c r="D34" s="34" t="str">
        <f t="shared" si="14"/>
        <v>#DIV/0!</v>
      </c>
      <c r="E34" s="67" t="str">
        <f t="shared" si="13"/>
        <v>#DIV/0!</v>
      </c>
      <c r="F34" s="52"/>
    </row>
    <row r="35">
      <c r="B35" s="45" t="s">
        <v>38</v>
      </c>
      <c r="C35" s="33" t="str">
        <f t="shared" ref="C35:D35" si="15">C24/C27</f>
        <v>#DIV/0!</v>
      </c>
      <c r="D35" s="34" t="str">
        <f t="shared" si="15"/>
        <v>#DIV/0!</v>
      </c>
      <c r="E35" s="67" t="str">
        <f t="shared" si="13"/>
        <v>#DIV/0!</v>
      </c>
      <c r="F35" s="52"/>
    </row>
    <row r="36">
      <c r="B36" s="45" t="s">
        <v>39</v>
      </c>
      <c r="C36" s="33" t="str">
        <f t="shared" ref="C36:D36" si="16">SUM(C25:C26)/C27</f>
        <v>#DIV/0!</v>
      </c>
      <c r="D36" s="34" t="str">
        <f t="shared" si="16"/>
        <v>#DIV/0!</v>
      </c>
      <c r="E36" s="67" t="str">
        <f t="shared" si="13"/>
        <v>#DIV/0!</v>
      </c>
      <c r="F36" s="52"/>
    </row>
    <row r="37">
      <c r="B37" s="45" t="s">
        <v>43</v>
      </c>
      <c r="C37" s="33" t="str">
        <f t="shared" ref="C37:D37" si="17">SUM(C24:C25)/C27</f>
        <v>#DIV/0!</v>
      </c>
      <c r="D37" s="34" t="str">
        <f t="shared" si="17"/>
        <v>#DIV/0!</v>
      </c>
      <c r="E37" s="67" t="str">
        <f t="shared" si="13"/>
        <v>#DIV/0!</v>
      </c>
      <c r="F37" s="52"/>
    </row>
    <row r="38">
      <c r="B38" s="45" t="s">
        <v>44</v>
      </c>
      <c r="C38" s="33" t="str">
        <f t="shared" ref="C38:D38" si="18">SUM(C24:C25)/C28</f>
        <v>#DIV/0!</v>
      </c>
      <c r="D38" s="34" t="str">
        <f t="shared" si="18"/>
        <v>#DIV/0!</v>
      </c>
      <c r="E38" s="67" t="str">
        <f t="shared" si="13"/>
        <v>#DIV/0!</v>
      </c>
      <c r="F38" s="52"/>
    </row>
    <row r="39">
      <c r="B39" s="54" t="s">
        <v>48</v>
      </c>
      <c r="C39" s="55" t="str">
        <f t="shared" ref="C39:D39" si="19">(C24+C25)/C29</f>
        <v>#DIV/0!</v>
      </c>
      <c r="D39" s="76" t="str">
        <f t="shared" si="19"/>
        <v>#DIV/0!</v>
      </c>
      <c r="E39" s="89" t="str">
        <f t="shared" si="13"/>
        <v>#DIV/0!</v>
      </c>
      <c r="F39" s="77"/>
    </row>
    <row r="40">
      <c r="B40" s="90" t="s">
        <v>10</v>
      </c>
      <c r="C40" s="68"/>
      <c r="D40" s="68"/>
      <c r="E40" s="90" t="s">
        <v>62</v>
      </c>
      <c r="F40" s="68"/>
      <c r="H40" s="1" t="s">
        <v>63</v>
      </c>
    </row>
    <row r="41">
      <c r="B41" s="3" t="s">
        <v>64</v>
      </c>
      <c r="C41" s="91" t="str">
        <f>D37-C37</f>
        <v>#DIV/0!</v>
      </c>
      <c r="D41" s="68"/>
      <c r="E41" s="3" t="s">
        <v>64</v>
      </c>
      <c r="F41" s="91" t="str">
        <f>D38-C38</f>
        <v>#DIV/0!</v>
      </c>
      <c r="H41" s="3" t="s">
        <v>64</v>
      </c>
      <c r="I41" s="91" t="str">
        <f>D39-C39</f>
        <v>#DIV/0!</v>
      </c>
    </row>
    <row r="42">
      <c r="B42" s="14" t="s">
        <v>65</v>
      </c>
      <c r="C42" s="92" t="str">
        <f>D18-C18</f>
        <v>#DIV/0!</v>
      </c>
      <c r="D42" s="68"/>
      <c r="E42" s="14" t="s">
        <v>65</v>
      </c>
      <c r="F42" s="92" t="str">
        <f>D19-C19</f>
        <v>#DIV/0!</v>
      </c>
      <c r="H42" s="14" t="s">
        <v>65</v>
      </c>
      <c r="I42" s="92" t="str">
        <f>D20-C20</f>
        <v>#DIV/0!</v>
      </c>
    </row>
    <row r="43">
      <c r="B43" s="14" t="s">
        <v>66</v>
      </c>
      <c r="C43" s="92" t="str">
        <f>C42-C41</f>
        <v>#DIV/0!</v>
      </c>
      <c r="D43" s="68"/>
      <c r="E43" s="14" t="s">
        <v>66</v>
      </c>
      <c r="F43" s="92" t="str">
        <f>F42-F41</f>
        <v>#DIV/0!</v>
      </c>
      <c r="H43" s="14" t="s">
        <v>66</v>
      </c>
      <c r="I43" s="92" t="str">
        <f>I42-I41</f>
        <v>#DIV/0!</v>
      </c>
    </row>
    <row r="44">
      <c r="B44" s="14" t="s">
        <v>67</v>
      </c>
      <c r="C44" s="93" t="str">
        <f>D8</f>
        <v/>
      </c>
      <c r="D44" s="68"/>
      <c r="E44" s="14" t="s">
        <v>67</v>
      </c>
      <c r="F44" s="93" t="str">
        <f>D9</f>
        <v/>
      </c>
      <c r="H44" s="14" t="s">
        <v>67</v>
      </c>
      <c r="I44" s="93" t="str">
        <f>D10</f>
        <v/>
      </c>
    </row>
    <row r="45">
      <c r="B45" s="94" t="s">
        <v>68</v>
      </c>
      <c r="C45" s="95" t="str">
        <f>C44*C43</f>
        <v>#DIV/0!</v>
      </c>
      <c r="D45" s="68"/>
      <c r="E45" s="94" t="s">
        <v>68</v>
      </c>
      <c r="F45" s="95" t="str">
        <f>F44*F43</f>
        <v>#DIV/0!</v>
      </c>
      <c r="H45" s="94" t="s">
        <v>68</v>
      </c>
      <c r="I45" s="95" t="str">
        <f>I44*I43</f>
        <v>#DIV/0!</v>
      </c>
    </row>
    <row r="47">
      <c r="B47" s="1" t="s">
        <v>69</v>
      </c>
    </row>
    <row r="48">
      <c r="B48" s="1" t="s">
        <v>70</v>
      </c>
    </row>
  </sheetData>
  <conditionalFormatting sqref="E13:F20">
    <cfRule type="cellIs" dxfId="1" priority="1" operator="greaterThan">
      <formula>0</formula>
    </cfRule>
  </conditionalFormatting>
  <conditionalFormatting sqref="E13:F20">
    <cfRule type="cellIs" dxfId="0" priority="2" operator="lessThan">
      <formula>0</formula>
    </cfRule>
  </conditionalFormatting>
  <conditionalFormatting sqref="E32:E39">
    <cfRule type="cellIs" dxfId="1" priority="3" operator="greaterThan">
      <formula>0</formula>
    </cfRule>
  </conditionalFormatting>
  <conditionalFormatting sqref="E32:E39">
    <cfRule type="cellIs" dxfId="0" priority="4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0"/>
    <col customWidth="1" min="12" max="12" width="23.25"/>
    <col customWidth="1" min="18" max="18" width="20.25"/>
    <col customWidth="1" min="24" max="24" width="16.38"/>
    <col customWidth="1" min="30" max="30" width="23.0"/>
  </cols>
  <sheetData>
    <row r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</row>
    <row r="3">
      <c r="A3" s="3"/>
      <c r="B3" s="5" t="s">
        <v>71</v>
      </c>
      <c r="C3" s="5" t="s">
        <v>10</v>
      </c>
      <c r="D3" s="9" t="s">
        <v>72</v>
      </c>
      <c r="E3" s="68"/>
      <c r="F3" s="7" t="s">
        <v>73</v>
      </c>
      <c r="G3" s="8" t="s">
        <v>13</v>
      </c>
      <c r="H3" s="8" t="s">
        <v>14</v>
      </c>
      <c r="I3" s="5"/>
      <c r="J3" s="9"/>
      <c r="K3" s="68"/>
      <c r="L3" s="7" t="s">
        <v>74</v>
      </c>
      <c r="M3" s="8" t="s">
        <v>13</v>
      </c>
      <c r="N3" s="8" t="s">
        <v>14</v>
      </c>
      <c r="O3" s="5"/>
      <c r="P3" s="9"/>
      <c r="R3" s="78" t="s">
        <v>15</v>
      </c>
      <c r="S3" s="8" t="s">
        <v>13</v>
      </c>
      <c r="T3" s="8" t="s">
        <v>14</v>
      </c>
      <c r="U3" s="5"/>
      <c r="V3" s="9"/>
      <c r="W3" s="68"/>
      <c r="X3" s="78" t="s">
        <v>16</v>
      </c>
      <c r="Y3" s="8" t="s">
        <v>13</v>
      </c>
      <c r="Z3" s="8" t="s">
        <v>14</v>
      </c>
      <c r="AA3" s="5"/>
      <c r="AB3" s="9"/>
      <c r="AC3" s="68"/>
      <c r="AD3" s="78" t="s">
        <v>17</v>
      </c>
      <c r="AE3" s="8" t="s">
        <v>13</v>
      </c>
      <c r="AF3" s="8" t="s">
        <v>14</v>
      </c>
      <c r="AG3" s="5"/>
      <c r="AH3" s="9"/>
    </row>
    <row r="4">
      <c r="A4" s="14" t="s">
        <v>12</v>
      </c>
      <c r="B4" s="11" t="str">
        <f>H21-G21</f>
        <v>#DIV/0!</v>
      </c>
      <c r="C4" s="86" t="str">
        <f>H8</f>
        <v/>
      </c>
      <c r="D4" s="96"/>
      <c r="E4" s="68"/>
      <c r="F4" s="14"/>
      <c r="G4" s="79" t="s">
        <v>58</v>
      </c>
      <c r="H4" s="79" t="s">
        <v>59</v>
      </c>
      <c r="I4" s="16" t="s">
        <v>20</v>
      </c>
      <c r="J4" s="17" t="s">
        <v>21</v>
      </c>
      <c r="K4" s="68"/>
      <c r="L4" s="14"/>
      <c r="M4" s="79" t="s">
        <v>58</v>
      </c>
      <c r="N4" s="79" t="s">
        <v>59</v>
      </c>
      <c r="O4" s="16" t="s">
        <v>20</v>
      </c>
      <c r="P4" s="17" t="s">
        <v>21</v>
      </c>
      <c r="R4" s="14"/>
      <c r="S4" s="79" t="s">
        <v>58</v>
      </c>
      <c r="T4" s="79" t="s">
        <v>59</v>
      </c>
      <c r="U4" s="16" t="s">
        <v>20</v>
      </c>
      <c r="V4" s="17" t="s">
        <v>21</v>
      </c>
      <c r="W4" s="68"/>
      <c r="X4" s="14"/>
      <c r="Y4" s="79" t="s">
        <v>58</v>
      </c>
      <c r="Z4" s="79" t="s">
        <v>59</v>
      </c>
      <c r="AA4" s="16" t="s">
        <v>20</v>
      </c>
      <c r="AB4" s="17" t="s">
        <v>21</v>
      </c>
      <c r="AC4" s="68"/>
      <c r="AD4" s="14"/>
      <c r="AE4" s="79" t="s">
        <v>58</v>
      </c>
      <c r="AF4" s="79" t="s">
        <v>59</v>
      </c>
      <c r="AG4" s="16" t="s">
        <v>20</v>
      </c>
      <c r="AH4" s="17" t="s">
        <v>21</v>
      </c>
    </row>
    <row r="5">
      <c r="A5" s="14" t="s">
        <v>16</v>
      </c>
      <c r="B5" s="97"/>
      <c r="C5" s="87"/>
      <c r="D5" s="98"/>
      <c r="E5" s="68"/>
      <c r="F5" s="14" t="s">
        <v>23</v>
      </c>
      <c r="G5" s="99"/>
      <c r="H5" s="100"/>
      <c r="I5" s="28"/>
      <c r="J5" s="24"/>
      <c r="K5" s="68"/>
      <c r="L5" s="14" t="s">
        <v>23</v>
      </c>
      <c r="M5" s="99"/>
      <c r="N5" s="100"/>
      <c r="O5" s="28"/>
      <c r="P5" s="24"/>
      <c r="R5" s="14" t="s">
        <v>23</v>
      </c>
      <c r="S5" s="99"/>
      <c r="T5" s="100"/>
      <c r="U5" s="28"/>
      <c r="V5" s="24"/>
      <c r="W5" s="68"/>
      <c r="X5" s="14" t="s">
        <v>23</v>
      </c>
      <c r="Y5" s="99"/>
      <c r="Z5" s="100"/>
      <c r="AA5" s="28"/>
      <c r="AB5" s="24"/>
      <c r="AC5" s="68"/>
      <c r="AD5" s="14" t="s">
        <v>23</v>
      </c>
      <c r="AE5" s="99"/>
      <c r="AF5" s="100"/>
      <c r="AG5" s="28"/>
      <c r="AH5" s="24"/>
    </row>
    <row r="6">
      <c r="A6" s="14" t="s">
        <v>17</v>
      </c>
      <c r="B6" s="97"/>
      <c r="C6" s="87"/>
      <c r="D6" s="98"/>
      <c r="E6" s="68"/>
      <c r="F6" s="14" t="s">
        <v>24</v>
      </c>
      <c r="G6" s="101"/>
      <c r="H6" s="102"/>
      <c r="I6" s="35"/>
      <c r="J6" s="32"/>
      <c r="K6" s="68"/>
      <c r="L6" s="14" t="s">
        <v>24</v>
      </c>
      <c r="M6" s="101"/>
      <c r="N6" s="102"/>
      <c r="O6" s="35"/>
      <c r="P6" s="32"/>
      <c r="R6" s="14" t="s">
        <v>25</v>
      </c>
      <c r="S6" s="103"/>
      <c r="T6" s="35"/>
      <c r="U6" s="35"/>
      <c r="V6" s="32"/>
      <c r="W6" s="68"/>
      <c r="X6" s="14" t="s">
        <v>25</v>
      </c>
      <c r="Y6" s="103"/>
      <c r="Z6" s="35"/>
      <c r="AA6" s="35"/>
      <c r="AB6" s="32"/>
      <c r="AC6" s="68"/>
      <c r="AD6" s="14" t="s">
        <v>24</v>
      </c>
      <c r="AE6" s="101"/>
      <c r="AF6" s="102"/>
      <c r="AG6" s="35"/>
      <c r="AH6" s="32"/>
    </row>
    <row r="7">
      <c r="A7" s="14" t="s">
        <v>15</v>
      </c>
      <c r="B7" s="97"/>
      <c r="C7" s="87"/>
      <c r="D7" s="98"/>
      <c r="E7" s="68"/>
      <c r="F7" s="14" t="s">
        <v>25</v>
      </c>
      <c r="G7" s="101"/>
      <c r="H7" s="102"/>
      <c r="I7" s="35"/>
      <c r="J7" s="32"/>
      <c r="K7" s="68"/>
      <c r="L7" s="14" t="s">
        <v>25</v>
      </c>
      <c r="M7" s="103"/>
      <c r="N7" s="35"/>
      <c r="O7" s="35"/>
      <c r="P7" s="32"/>
      <c r="R7" s="14" t="s">
        <v>26</v>
      </c>
      <c r="S7" s="103"/>
      <c r="T7" s="35"/>
      <c r="U7" s="35"/>
      <c r="V7" s="32"/>
      <c r="W7" s="68"/>
      <c r="X7" s="14" t="s">
        <v>26</v>
      </c>
      <c r="Y7" s="103"/>
      <c r="Z7" s="35"/>
      <c r="AA7" s="35"/>
      <c r="AB7" s="32"/>
      <c r="AC7" s="68"/>
      <c r="AD7" s="14" t="s">
        <v>25</v>
      </c>
      <c r="AE7" s="103"/>
      <c r="AF7" s="35"/>
      <c r="AG7" s="35"/>
      <c r="AH7" s="32"/>
    </row>
    <row r="8">
      <c r="A8" s="40" t="s">
        <v>27</v>
      </c>
      <c r="B8" s="41"/>
      <c r="C8" s="41"/>
      <c r="D8" s="104"/>
      <c r="E8" s="68"/>
      <c r="F8" s="14" t="s">
        <v>26</v>
      </c>
      <c r="G8" s="105"/>
      <c r="H8" s="106"/>
      <c r="I8" s="35"/>
      <c r="J8" s="32"/>
      <c r="K8" s="68"/>
      <c r="L8" s="14" t="s">
        <v>26</v>
      </c>
      <c r="M8" s="103"/>
      <c r="N8" s="35"/>
      <c r="O8" s="35"/>
      <c r="P8" s="32"/>
      <c r="R8" s="14" t="s">
        <v>28</v>
      </c>
      <c r="S8" s="103"/>
      <c r="T8" s="35"/>
      <c r="U8" s="35"/>
      <c r="V8" s="32"/>
      <c r="W8" s="68"/>
      <c r="X8" s="14" t="s">
        <v>28</v>
      </c>
      <c r="Y8" s="103"/>
      <c r="Z8" s="35"/>
      <c r="AA8" s="35"/>
      <c r="AB8" s="32"/>
      <c r="AC8" s="68"/>
      <c r="AD8" s="14" t="s">
        <v>26</v>
      </c>
      <c r="AE8" s="103"/>
      <c r="AF8" s="35"/>
      <c r="AG8" s="35"/>
      <c r="AH8" s="32"/>
    </row>
    <row r="9">
      <c r="A9" s="68"/>
      <c r="B9" s="68"/>
      <c r="C9" s="68"/>
      <c r="D9" s="68"/>
      <c r="E9" s="68"/>
      <c r="F9" s="14" t="s">
        <v>28</v>
      </c>
      <c r="G9" s="105"/>
      <c r="H9" s="106"/>
      <c r="I9" s="35"/>
      <c r="J9" s="32"/>
      <c r="K9" s="68"/>
      <c r="L9" s="14" t="s">
        <v>28</v>
      </c>
      <c r="M9" s="103"/>
      <c r="N9" s="35"/>
      <c r="O9" s="35"/>
      <c r="P9" s="32"/>
      <c r="R9" s="14" t="s">
        <v>29</v>
      </c>
      <c r="S9" s="103"/>
      <c r="T9" s="35"/>
      <c r="U9" s="35"/>
      <c r="V9" s="32"/>
      <c r="W9" s="68"/>
      <c r="X9" s="14" t="s">
        <v>29</v>
      </c>
      <c r="Y9" s="103"/>
      <c r="Z9" s="35"/>
      <c r="AA9" s="35"/>
      <c r="AB9" s="32"/>
      <c r="AC9" s="68"/>
      <c r="AD9" s="14" t="s">
        <v>28</v>
      </c>
      <c r="AE9" s="103"/>
      <c r="AF9" s="35"/>
      <c r="AG9" s="35"/>
      <c r="AH9" s="32"/>
    </row>
    <row r="10">
      <c r="A10" s="68"/>
      <c r="B10" s="68"/>
      <c r="C10" s="68"/>
      <c r="D10" s="68"/>
      <c r="E10" s="68"/>
      <c r="F10" s="14" t="s">
        <v>29</v>
      </c>
      <c r="G10" s="105"/>
      <c r="H10" s="106"/>
      <c r="I10" s="35"/>
      <c r="J10" s="32"/>
      <c r="K10" s="68"/>
      <c r="L10" s="14" t="s">
        <v>29</v>
      </c>
      <c r="M10" s="103"/>
      <c r="N10" s="35"/>
      <c r="O10" s="35"/>
      <c r="P10" s="32"/>
      <c r="R10" s="14" t="s">
        <v>30</v>
      </c>
      <c r="S10" s="103"/>
      <c r="T10" s="35"/>
      <c r="U10" s="35"/>
      <c r="V10" s="32"/>
      <c r="W10" s="68"/>
      <c r="X10" s="14" t="s">
        <v>30</v>
      </c>
      <c r="Y10" s="103"/>
      <c r="Z10" s="35"/>
      <c r="AA10" s="35"/>
      <c r="AB10" s="32"/>
      <c r="AC10" s="68"/>
      <c r="AD10" s="14" t="s">
        <v>29</v>
      </c>
      <c r="AE10" s="103"/>
      <c r="AF10" s="35"/>
      <c r="AG10" s="35"/>
      <c r="AH10" s="32"/>
    </row>
    <row r="11">
      <c r="A11" s="68"/>
      <c r="B11" s="68"/>
      <c r="C11" s="68"/>
      <c r="D11" s="68"/>
      <c r="E11" s="68"/>
      <c r="F11" s="14" t="s">
        <v>31</v>
      </c>
      <c r="G11" s="107"/>
      <c r="H11" s="108"/>
      <c r="I11" s="35"/>
      <c r="J11" s="32"/>
      <c r="K11" s="68"/>
      <c r="L11" s="14" t="s">
        <v>31</v>
      </c>
      <c r="M11" s="103"/>
      <c r="N11" s="35"/>
      <c r="O11" s="35"/>
      <c r="P11" s="32"/>
      <c r="R11" s="45" t="s">
        <v>75</v>
      </c>
      <c r="S11" s="33" t="str">
        <f t="shared" ref="S11:T11" si="1">S23/S7</f>
        <v>#DIV/0!</v>
      </c>
      <c r="T11" s="33" t="str">
        <f t="shared" si="1"/>
        <v>#DIV/0!</v>
      </c>
      <c r="U11" s="51" t="str">
        <f t="shared" ref="U11:U17" si="4">(T11-S11)/S11</f>
        <v>#DIV/0!</v>
      </c>
      <c r="V11" s="52" t="str">
        <f t="shared" ref="V11:V17" si="5">(U11-#REF!)</f>
        <v>#DIV/0!</v>
      </c>
      <c r="W11" s="68"/>
      <c r="X11" s="45" t="s">
        <v>75</v>
      </c>
      <c r="Y11" s="33" t="str">
        <f t="shared" ref="Y11:Z11" si="2">Y22/Y7</f>
        <v>#DIV/0!</v>
      </c>
      <c r="Z11" s="33" t="str">
        <f t="shared" si="2"/>
        <v>#DIV/0!</v>
      </c>
      <c r="AA11" s="51" t="str">
        <f t="shared" ref="AA11:AA16" si="7">(Z11-Y11)/Y11</f>
        <v>#DIV/0!</v>
      </c>
      <c r="AB11" s="52" t="str">
        <f t="shared" ref="AB11:AB16" si="8">(AA11-#REF!)</f>
        <v>#DIV/0!</v>
      </c>
      <c r="AC11" s="68"/>
      <c r="AD11" s="14" t="s">
        <v>31</v>
      </c>
      <c r="AE11" s="103"/>
      <c r="AF11" s="35"/>
      <c r="AG11" s="35"/>
      <c r="AH11" s="32"/>
    </row>
    <row r="12">
      <c r="A12" s="68"/>
      <c r="B12" s="68"/>
      <c r="C12" s="68"/>
      <c r="D12" s="68"/>
      <c r="E12" s="68"/>
      <c r="F12" s="14" t="s">
        <v>30</v>
      </c>
      <c r="G12" s="105"/>
      <c r="H12" s="106"/>
      <c r="I12" s="35"/>
      <c r="J12" s="32"/>
      <c r="K12" s="68"/>
      <c r="L12" s="14" t="s">
        <v>30</v>
      </c>
      <c r="M12" s="103"/>
      <c r="N12" s="35"/>
      <c r="O12" s="35"/>
      <c r="P12" s="32"/>
      <c r="R12" s="45" t="s">
        <v>76</v>
      </c>
      <c r="S12" s="33" t="str">
        <f t="shared" ref="S12:T12" si="3">S37/S7</f>
        <v>#DIV/0!</v>
      </c>
      <c r="T12" s="33" t="str">
        <f t="shared" si="3"/>
        <v>#DIV/0!</v>
      </c>
      <c r="U12" s="51" t="str">
        <f t="shared" si="4"/>
        <v>#DIV/0!</v>
      </c>
      <c r="V12" s="52" t="str">
        <f t="shared" si="5"/>
        <v>#DIV/0!</v>
      </c>
      <c r="W12" s="68"/>
      <c r="X12" s="109" t="s">
        <v>32</v>
      </c>
      <c r="Y12" s="46" t="str">
        <f t="shared" ref="Y12:Z12" si="6">Y10/Y7</f>
        <v>#DIV/0!</v>
      </c>
      <c r="Z12" s="47" t="str">
        <f t="shared" si="6"/>
        <v>#DIV/0!</v>
      </c>
      <c r="AA12" s="51" t="str">
        <f t="shared" si="7"/>
        <v>#DIV/0!</v>
      </c>
      <c r="AB12" s="52" t="str">
        <f t="shared" si="8"/>
        <v>#DIV/0!</v>
      </c>
      <c r="AC12" s="68"/>
      <c r="AD12" s="14" t="s">
        <v>30</v>
      </c>
      <c r="AE12" s="103"/>
      <c r="AF12" s="35"/>
      <c r="AG12" s="35"/>
      <c r="AH12" s="32"/>
    </row>
    <row r="13">
      <c r="A13" s="68"/>
      <c r="B13" s="68"/>
      <c r="C13" s="68"/>
      <c r="D13" s="68"/>
      <c r="E13" s="68"/>
      <c r="F13" s="45" t="s">
        <v>77</v>
      </c>
      <c r="G13" s="33" t="str">
        <f t="shared" ref="G13:H13" si="9">G47/G8</f>
        <v>#DIV/0!</v>
      </c>
      <c r="H13" s="33" t="str">
        <f t="shared" si="9"/>
        <v>#DIV/0!</v>
      </c>
      <c r="I13" s="51" t="str">
        <f t="shared" ref="I13:I21" si="15">(H13-G13)/G13</f>
        <v>#DIV/0!</v>
      </c>
      <c r="J13" s="52" t="str">
        <f t="shared" ref="J13:J21" si="16">(I13-#REF!)</f>
        <v>#DIV/0!</v>
      </c>
      <c r="K13" s="68"/>
      <c r="L13" s="45" t="s">
        <v>77</v>
      </c>
      <c r="M13" s="33" t="str">
        <f t="shared" ref="M13:N13" si="10">M47/M8</f>
        <v>#DIV/0!</v>
      </c>
      <c r="N13" s="33" t="str">
        <f t="shared" si="10"/>
        <v>#DIV/0!</v>
      </c>
      <c r="O13" s="51" t="str">
        <f t="shared" ref="O13:O21" si="18">(N13-M13)/M13</f>
        <v>#DIV/0!</v>
      </c>
      <c r="P13" s="52" t="str">
        <f t="shared" ref="P13:P21" si="19">(O13-#REF!)</f>
        <v>#DIV/0!</v>
      </c>
      <c r="R13" s="109" t="s">
        <v>32</v>
      </c>
      <c r="S13" s="46" t="str">
        <f t="shared" ref="S13:T13" si="11">S10/S7</f>
        <v>#DIV/0!</v>
      </c>
      <c r="T13" s="47" t="str">
        <f t="shared" si="11"/>
        <v>#DIV/0!</v>
      </c>
      <c r="U13" s="51" t="str">
        <f t="shared" si="4"/>
        <v>#DIV/0!</v>
      </c>
      <c r="V13" s="52" t="str">
        <f t="shared" si="5"/>
        <v>#DIV/0!</v>
      </c>
      <c r="W13" s="68"/>
      <c r="X13" s="109" t="s">
        <v>33</v>
      </c>
      <c r="Y13" s="33" t="str">
        <f t="shared" ref="Y13:Z13" si="12">Y6/Y7</f>
        <v>#DIV/0!</v>
      </c>
      <c r="Z13" s="50" t="str">
        <f t="shared" si="12"/>
        <v>#DIV/0!</v>
      </c>
      <c r="AA13" s="51" t="str">
        <f t="shared" si="7"/>
        <v>#DIV/0!</v>
      </c>
      <c r="AB13" s="52" t="str">
        <f t="shared" si="8"/>
        <v>#DIV/0!</v>
      </c>
      <c r="AC13" s="68"/>
      <c r="AD13" s="45" t="s">
        <v>78</v>
      </c>
      <c r="AE13" s="33" t="str">
        <f t="shared" ref="AE13:AF13" si="13">AE28/AE8</f>
        <v>#DIV/0!</v>
      </c>
      <c r="AF13" s="33" t="str">
        <f t="shared" si="13"/>
        <v>#DIV/0!</v>
      </c>
      <c r="AG13" s="51" t="str">
        <f t="shared" ref="AG13:AG21" si="23">(AF13-AE13)/AE13</f>
        <v>#DIV/0!</v>
      </c>
      <c r="AH13" s="52" t="str">
        <f t="shared" ref="AH13:AH21" si="24">(AG13-#REF!)</f>
        <v>#DIV/0!</v>
      </c>
    </row>
    <row r="14">
      <c r="A14" s="68"/>
      <c r="B14" s="68"/>
      <c r="C14" s="68"/>
      <c r="D14" s="68"/>
      <c r="E14" s="68"/>
      <c r="F14" s="109" t="s">
        <v>34</v>
      </c>
      <c r="G14" s="46" t="str">
        <f t="shared" ref="G14:H14" si="14">G11/G8</f>
        <v>#DIV/0!</v>
      </c>
      <c r="H14" s="47" t="str">
        <f t="shared" si="14"/>
        <v>#DIV/0!</v>
      </c>
      <c r="I14" s="51" t="str">
        <f t="shared" si="15"/>
        <v>#DIV/0!</v>
      </c>
      <c r="J14" s="52" t="str">
        <f t="shared" si="16"/>
        <v>#DIV/0!</v>
      </c>
      <c r="K14" s="68"/>
      <c r="L14" s="109" t="s">
        <v>34</v>
      </c>
      <c r="M14" s="46" t="str">
        <f t="shared" ref="M14:N14" si="17">M11/M8</f>
        <v>#DIV/0!</v>
      </c>
      <c r="N14" s="47" t="str">
        <f t="shared" si="17"/>
        <v>#DIV/0!</v>
      </c>
      <c r="O14" s="51" t="str">
        <f t="shared" si="18"/>
        <v>#DIV/0!</v>
      </c>
      <c r="P14" s="52" t="str">
        <f t="shared" si="19"/>
        <v>#DIV/0!</v>
      </c>
      <c r="R14" s="109" t="s">
        <v>33</v>
      </c>
      <c r="S14" s="33" t="str">
        <f t="shared" ref="S14:T14" si="20">S6/S7</f>
        <v>#DIV/0!</v>
      </c>
      <c r="T14" s="50" t="str">
        <f t="shared" si="20"/>
        <v>#DIV/0!</v>
      </c>
      <c r="U14" s="51" t="str">
        <f t="shared" si="4"/>
        <v>#DIV/0!</v>
      </c>
      <c r="V14" s="52" t="str">
        <f t="shared" si="5"/>
        <v>#DIV/0!</v>
      </c>
      <c r="W14" s="68"/>
      <c r="X14" s="109" t="s">
        <v>35</v>
      </c>
      <c r="Y14" s="33" t="str">
        <f t="shared" ref="Y14:Z14" si="21">SUM(Y5)/Y7</f>
        <v>#DIV/0!</v>
      </c>
      <c r="Z14" s="50" t="str">
        <f t="shared" si="21"/>
        <v>#DIV/0!</v>
      </c>
      <c r="AA14" s="51" t="str">
        <f t="shared" si="7"/>
        <v>#DIV/0!</v>
      </c>
      <c r="AB14" s="52" t="str">
        <f t="shared" si="8"/>
        <v>#DIV/0!</v>
      </c>
      <c r="AC14" s="68"/>
      <c r="AD14" s="109" t="s">
        <v>34</v>
      </c>
      <c r="AE14" s="46" t="str">
        <f t="shared" ref="AE14:AF14" si="22">AE11/AE8</f>
        <v>#DIV/0!</v>
      </c>
      <c r="AF14" s="47" t="str">
        <f t="shared" si="22"/>
        <v>#DIV/0!</v>
      </c>
      <c r="AG14" s="51" t="str">
        <f t="shared" si="23"/>
        <v>#DIV/0!</v>
      </c>
      <c r="AH14" s="52" t="str">
        <f t="shared" si="24"/>
        <v>#DIV/0!</v>
      </c>
    </row>
    <row r="15">
      <c r="A15" s="68"/>
      <c r="B15" s="68"/>
      <c r="C15" s="68"/>
      <c r="D15" s="68"/>
      <c r="E15" s="68"/>
      <c r="F15" s="109" t="s">
        <v>32</v>
      </c>
      <c r="G15" s="46" t="str">
        <f t="shared" ref="G15:H15" si="25">G12/G8</f>
        <v>#DIV/0!</v>
      </c>
      <c r="H15" s="47" t="str">
        <f t="shared" si="25"/>
        <v>#DIV/0!</v>
      </c>
      <c r="I15" s="51" t="str">
        <f t="shared" si="15"/>
        <v>#DIV/0!</v>
      </c>
      <c r="J15" s="52" t="str">
        <f t="shared" si="16"/>
        <v>#DIV/0!</v>
      </c>
      <c r="K15" s="68"/>
      <c r="L15" s="109" t="s">
        <v>32</v>
      </c>
      <c r="M15" s="46" t="str">
        <f t="shared" ref="M15:N15" si="26">M12/M8</f>
        <v>#DIV/0!</v>
      </c>
      <c r="N15" s="47" t="str">
        <f t="shared" si="26"/>
        <v>#DIV/0!</v>
      </c>
      <c r="O15" s="51" t="str">
        <f t="shared" si="18"/>
        <v>#DIV/0!</v>
      </c>
      <c r="P15" s="52" t="str">
        <f t="shared" si="19"/>
        <v>#DIV/0!</v>
      </c>
      <c r="R15" s="109" t="s">
        <v>35</v>
      </c>
      <c r="S15" s="33" t="str">
        <f t="shared" ref="S15:T15" si="27">SUM(S5)/S7</f>
        <v>#DIV/0!</v>
      </c>
      <c r="T15" s="50" t="str">
        <f t="shared" si="27"/>
        <v>#DIV/0!</v>
      </c>
      <c r="U15" s="51" t="str">
        <f t="shared" si="4"/>
        <v>#DIV/0!</v>
      </c>
      <c r="V15" s="52" t="str">
        <f t="shared" si="5"/>
        <v>#DIV/0!</v>
      </c>
      <c r="W15" s="68"/>
      <c r="X15" s="109" t="s">
        <v>36</v>
      </c>
      <c r="Y15" s="33" t="str">
        <f t="shared" ref="Y15:Z15" si="28">SUM(Y5)/Y8</f>
        <v>#DIV/0!</v>
      </c>
      <c r="Z15" s="50" t="str">
        <f t="shared" si="28"/>
        <v>#DIV/0!</v>
      </c>
      <c r="AA15" s="51" t="str">
        <f t="shared" si="7"/>
        <v>#DIV/0!</v>
      </c>
      <c r="AB15" s="52" t="str">
        <f t="shared" si="8"/>
        <v>#DIV/0!</v>
      </c>
      <c r="AC15" s="68"/>
      <c r="AD15" s="109" t="s">
        <v>32</v>
      </c>
      <c r="AE15" s="46" t="str">
        <f t="shared" ref="AE15:AF15" si="29">AE12/AE8</f>
        <v>#DIV/0!</v>
      </c>
      <c r="AF15" s="47" t="str">
        <f t="shared" si="29"/>
        <v>#DIV/0!</v>
      </c>
      <c r="AG15" s="51" t="str">
        <f t="shared" si="23"/>
        <v>#DIV/0!</v>
      </c>
      <c r="AH15" s="52" t="str">
        <f t="shared" si="24"/>
        <v>#DIV/0!</v>
      </c>
    </row>
    <row r="16">
      <c r="A16" s="68"/>
      <c r="B16" s="68"/>
      <c r="C16" s="68"/>
      <c r="D16" s="68"/>
      <c r="E16" s="68"/>
      <c r="F16" s="109" t="s">
        <v>33</v>
      </c>
      <c r="G16" s="33" t="str">
        <f t="shared" ref="G16:H16" si="30">G7/G8</f>
        <v>#DIV/0!</v>
      </c>
      <c r="H16" s="50" t="str">
        <f t="shared" si="30"/>
        <v>#DIV/0!</v>
      </c>
      <c r="I16" s="51" t="str">
        <f t="shared" si="15"/>
        <v>#DIV/0!</v>
      </c>
      <c r="J16" s="52" t="str">
        <f t="shared" si="16"/>
        <v>#DIV/0!</v>
      </c>
      <c r="K16" s="68"/>
      <c r="L16" s="109" t="s">
        <v>33</v>
      </c>
      <c r="M16" s="33" t="str">
        <f t="shared" ref="M16:N16" si="31">M7/M8</f>
        <v>#DIV/0!</v>
      </c>
      <c r="N16" s="50" t="str">
        <f t="shared" si="31"/>
        <v>#DIV/0!</v>
      </c>
      <c r="O16" s="51" t="str">
        <f t="shared" si="18"/>
        <v>#DIV/0!</v>
      </c>
      <c r="P16" s="52" t="str">
        <f t="shared" si="19"/>
        <v>#DIV/0!</v>
      </c>
      <c r="R16" s="109" t="s">
        <v>36</v>
      </c>
      <c r="S16" s="33" t="str">
        <f t="shared" ref="S16:T16" si="32">SUM(S5)/S8</f>
        <v>#DIV/0!</v>
      </c>
      <c r="T16" s="50" t="str">
        <f t="shared" si="32"/>
        <v>#DIV/0!</v>
      </c>
      <c r="U16" s="51" t="str">
        <f t="shared" si="4"/>
        <v>#DIV/0!</v>
      </c>
      <c r="V16" s="52" t="str">
        <f t="shared" si="5"/>
        <v>#DIV/0!</v>
      </c>
      <c r="W16" s="68"/>
      <c r="X16" s="110" t="s">
        <v>37</v>
      </c>
      <c r="Y16" s="55" t="str">
        <f t="shared" ref="Y16:Z16" si="33">(Y5)/Y9</f>
        <v>#DIV/0!</v>
      </c>
      <c r="Z16" s="55" t="str">
        <f t="shared" si="33"/>
        <v>#DIV/0!</v>
      </c>
      <c r="AA16" s="111" t="str">
        <f t="shared" si="7"/>
        <v>#DIV/0!</v>
      </c>
      <c r="AB16" s="77" t="str">
        <f t="shared" si="8"/>
        <v>#DIV/0!</v>
      </c>
      <c r="AC16" s="68"/>
      <c r="AD16" s="109" t="s">
        <v>33</v>
      </c>
      <c r="AE16" s="33" t="str">
        <f t="shared" ref="AE16:AF16" si="34">AE7/AE8</f>
        <v>#DIV/0!</v>
      </c>
      <c r="AF16" s="50" t="str">
        <f t="shared" si="34"/>
        <v>#DIV/0!</v>
      </c>
      <c r="AG16" s="51" t="str">
        <f t="shared" si="23"/>
        <v>#DIV/0!</v>
      </c>
      <c r="AH16" s="52" t="str">
        <f t="shared" si="24"/>
        <v>#DIV/0!</v>
      </c>
    </row>
    <row r="17">
      <c r="A17" s="68"/>
      <c r="B17" s="68"/>
      <c r="C17" s="68"/>
      <c r="D17" s="68"/>
      <c r="E17" s="68"/>
      <c r="F17" s="109" t="s">
        <v>38</v>
      </c>
      <c r="G17" s="33" t="str">
        <f t="shared" ref="G17:H17" si="35">G5/G8</f>
        <v>#DIV/0!</v>
      </c>
      <c r="H17" s="50" t="str">
        <f t="shared" si="35"/>
        <v>#DIV/0!</v>
      </c>
      <c r="I17" s="51" t="str">
        <f t="shared" si="15"/>
        <v>#DIV/0!</v>
      </c>
      <c r="J17" s="52" t="str">
        <f t="shared" si="16"/>
        <v>#DIV/0!</v>
      </c>
      <c r="K17" s="68"/>
      <c r="L17" s="109" t="s">
        <v>38</v>
      </c>
      <c r="M17" s="33" t="str">
        <f t="shared" ref="M17:N17" si="36">M5/M8</f>
        <v>#DIV/0!</v>
      </c>
      <c r="N17" s="50" t="str">
        <f t="shared" si="36"/>
        <v>#DIV/0!</v>
      </c>
      <c r="O17" s="51" t="str">
        <f t="shared" si="18"/>
        <v>#DIV/0!</v>
      </c>
      <c r="P17" s="52" t="str">
        <f t="shared" si="19"/>
        <v>#DIV/0!</v>
      </c>
      <c r="R17" s="110" t="s">
        <v>37</v>
      </c>
      <c r="S17" s="55" t="str">
        <f t="shared" ref="S17:T17" si="37">(S5)/S9</f>
        <v>#DIV/0!</v>
      </c>
      <c r="T17" s="55" t="str">
        <f t="shared" si="37"/>
        <v>#DIV/0!</v>
      </c>
      <c r="U17" s="111" t="str">
        <f t="shared" si="4"/>
        <v>#DIV/0!</v>
      </c>
      <c r="V17" s="77" t="str">
        <f t="shared" si="5"/>
        <v>#DIV/0!</v>
      </c>
      <c r="W17" s="68"/>
      <c r="X17" s="68"/>
      <c r="Y17" s="112"/>
      <c r="Z17" s="112"/>
      <c r="AA17" s="113"/>
      <c r="AB17" s="113"/>
      <c r="AC17" s="68"/>
      <c r="AD17" s="109" t="s">
        <v>38</v>
      </c>
      <c r="AE17" s="33" t="str">
        <f t="shared" ref="AE17:AF17" si="38">AE5/AE8</f>
        <v>#DIV/0!</v>
      </c>
      <c r="AF17" s="50" t="str">
        <f t="shared" si="38"/>
        <v>#DIV/0!</v>
      </c>
      <c r="AG17" s="51" t="str">
        <f t="shared" si="23"/>
        <v>#DIV/0!</v>
      </c>
      <c r="AH17" s="52" t="str">
        <f t="shared" si="24"/>
        <v>#DIV/0!</v>
      </c>
    </row>
    <row r="18">
      <c r="A18" s="68"/>
      <c r="B18" s="68"/>
      <c r="C18" s="68"/>
      <c r="D18" s="68"/>
      <c r="E18" s="68"/>
      <c r="F18" s="109" t="s">
        <v>39</v>
      </c>
      <c r="G18" s="33" t="str">
        <f t="shared" ref="G18:H18" si="39">SUM(G6:G7)/G8</f>
        <v>#DIV/0!</v>
      </c>
      <c r="H18" s="50" t="str">
        <f t="shared" si="39"/>
        <v>#DIV/0!</v>
      </c>
      <c r="I18" s="51" t="str">
        <f t="shared" si="15"/>
        <v>#DIV/0!</v>
      </c>
      <c r="J18" s="52" t="str">
        <f t="shared" si="16"/>
        <v>#DIV/0!</v>
      </c>
      <c r="K18" s="68"/>
      <c r="L18" s="109" t="s">
        <v>39</v>
      </c>
      <c r="M18" s="33" t="str">
        <f t="shared" ref="M18:N18" si="40">SUM(M6:M7)/M8</f>
        <v>#DIV/0!</v>
      </c>
      <c r="N18" s="50" t="str">
        <f t="shared" si="40"/>
        <v>#DIV/0!</v>
      </c>
      <c r="O18" s="51" t="str">
        <f t="shared" si="18"/>
        <v>#DIV/0!</v>
      </c>
      <c r="P18" s="52" t="str">
        <f t="shared" si="19"/>
        <v>#DIV/0!</v>
      </c>
      <c r="R18" s="68"/>
      <c r="S18" s="68"/>
      <c r="T18" s="68"/>
      <c r="U18" s="68"/>
      <c r="V18" s="68"/>
      <c r="W18" s="68"/>
      <c r="X18" s="7" t="s">
        <v>79</v>
      </c>
      <c r="Y18" s="8" t="s">
        <v>13</v>
      </c>
      <c r="Z18" s="8" t="s">
        <v>14</v>
      </c>
      <c r="AA18" s="5"/>
      <c r="AB18" s="9"/>
      <c r="AC18" s="68"/>
      <c r="AD18" s="109" t="s">
        <v>39</v>
      </c>
      <c r="AE18" s="33" t="str">
        <f t="shared" ref="AE18:AF18" si="41">SUM(AE6:AE7)/AE8</f>
        <v>#DIV/0!</v>
      </c>
      <c r="AF18" s="50" t="str">
        <f t="shared" si="41"/>
        <v>#DIV/0!</v>
      </c>
      <c r="AG18" s="51" t="str">
        <f t="shared" si="23"/>
        <v>#DIV/0!</v>
      </c>
      <c r="AH18" s="52" t="str">
        <f t="shared" si="24"/>
        <v>#DIV/0!</v>
      </c>
    </row>
    <row r="19">
      <c r="A19" s="68"/>
      <c r="B19" s="68"/>
      <c r="C19" s="68"/>
      <c r="D19" s="68"/>
      <c r="E19" s="68"/>
      <c r="F19" s="109" t="s">
        <v>43</v>
      </c>
      <c r="G19" s="33" t="str">
        <f t="shared" ref="G19:H19" si="42">SUM(G5:G6)/G8</f>
        <v>#DIV/0!</v>
      </c>
      <c r="H19" s="50" t="str">
        <f t="shared" si="42"/>
        <v>#DIV/0!</v>
      </c>
      <c r="I19" s="51" t="str">
        <f t="shared" si="15"/>
        <v>#DIV/0!</v>
      </c>
      <c r="J19" s="52" t="str">
        <f t="shared" si="16"/>
        <v>#DIV/0!</v>
      </c>
      <c r="K19" s="68"/>
      <c r="L19" s="109" t="s">
        <v>43</v>
      </c>
      <c r="M19" s="33" t="str">
        <f t="shared" ref="M19:N19" si="43">SUM(M5:M6)/M8</f>
        <v>#DIV/0!</v>
      </c>
      <c r="N19" s="50" t="str">
        <f t="shared" si="43"/>
        <v>#DIV/0!</v>
      </c>
      <c r="O19" s="51" t="str">
        <f t="shared" si="18"/>
        <v>#DIV/0!</v>
      </c>
      <c r="P19" s="52" t="str">
        <f t="shared" si="19"/>
        <v>#DIV/0!</v>
      </c>
      <c r="R19" s="78" t="s">
        <v>80</v>
      </c>
      <c r="S19" s="8" t="s">
        <v>13</v>
      </c>
      <c r="T19" s="8" t="s">
        <v>14</v>
      </c>
      <c r="U19" s="5"/>
      <c r="V19" s="9"/>
      <c r="W19" s="68"/>
      <c r="X19" s="14"/>
      <c r="Y19" s="79" t="s">
        <v>58</v>
      </c>
      <c r="Z19" s="79" t="s">
        <v>59</v>
      </c>
      <c r="AA19" s="16" t="s">
        <v>20</v>
      </c>
      <c r="AB19" s="17" t="s">
        <v>21</v>
      </c>
      <c r="AC19" s="68"/>
      <c r="AD19" s="109" t="s">
        <v>43</v>
      </c>
      <c r="AE19" s="33" t="str">
        <f t="shared" ref="AE19:AF19" si="44">SUM(AE5:AE6)/AE8</f>
        <v>#DIV/0!</v>
      </c>
      <c r="AF19" s="50" t="str">
        <f t="shared" si="44"/>
        <v>#DIV/0!</v>
      </c>
      <c r="AG19" s="51" t="str">
        <f t="shared" si="23"/>
        <v>#DIV/0!</v>
      </c>
      <c r="AH19" s="52" t="str">
        <f t="shared" si="24"/>
        <v>#DIV/0!</v>
      </c>
    </row>
    <row r="20">
      <c r="A20" s="68"/>
      <c r="B20" s="68"/>
      <c r="C20" s="68"/>
      <c r="D20" s="68"/>
      <c r="E20" s="68"/>
      <c r="F20" s="109" t="s">
        <v>44</v>
      </c>
      <c r="G20" s="33" t="str">
        <f t="shared" ref="G20:H20" si="45">SUM(G5:G6)/G9</f>
        <v>#DIV/0!</v>
      </c>
      <c r="H20" s="50" t="str">
        <f t="shared" si="45"/>
        <v>#DIV/0!</v>
      </c>
      <c r="I20" s="51" t="str">
        <f t="shared" si="15"/>
        <v>#DIV/0!</v>
      </c>
      <c r="J20" s="52" t="str">
        <f t="shared" si="16"/>
        <v>#DIV/0!</v>
      </c>
      <c r="K20" s="68"/>
      <c r="L20" s="109" t="s">
        <v>44</v>
      </c>
      <c r="M20" s="33" t="str">
        <f t="shared" ref="M20:N20" si="46">SUM(M5:M6)/M9</f>
        <v>#DIV/0!</v>
      </c>
      <c r="N20" s="50" t="str">
        <f t="shared" si="46"/>
        <v>#DIV/0!</v>
      </c>
      <c r="O20" s="51" t="str">
        <f t="shared" si="18"/>
        <v>#DIV/0!</v>
      </c>
      <c r="P20" s="52" t="str">
        <f t="shared" si="19"/>
        <v>#DIV/0!</v>
      </c>
      <c r="R20" s="14"/>
      <c r="S20" s="79" t="s">
        <v>58</v>
      </c>
      <c r="T20" s="79" t="s">
        <v>59</v>
      </c>
      <c r="U20" s="16" t="s">
        <v>20</v>
      </c>
      <c r="V20" s="17" t="s">
        <v>21</v>
      </c>
      <c r="W20" s="68"/>
      <c r="X20" s="14" t="s">
        <v>23</v>
      </c>
      <c r="Y20" s="99"/>
      <c r="Z20" s="100"/>
      <c r="AA20" s="28"/>
      <c r="AB20" s="24"/>
      <c r="AC20" s="68"/>
      <c r="AD20" s="109" t="s">
        <v>44</v>
      </c>
      <c r="AE20" s="33" t="str">
        <f t="shared" ref="AE20:AF20" si="47">SUM(AE5:AE6)/AE9</f>
        <v>#DIV/0!</v>
      </c>
      <c r="AF20" s="50" t="str">
        <f t="shared" si="47"/>
        <v>#DIV/0!</v>
      </c>
      <c r="AG20" s="51" t="str">
        <f t="shared" si="23"/>
        <v>#DIV/0!</v>
      </c>
      <c r="AH20" s="52" t="str">
        <f t="shared" si="24"/>
        <v>#DIV/0!</v>
      </c>
    </row>
    <row r="21">
      <c r="A21" s="68"/>
      <c r="B21" s="68"/>
      <c r="C21" s="68"/>
      <c r="D21" s="68"/>
      <c r="E21" s="68"/>
      <c r="F21" s="109" t="s">
        <v>48</v>
      </c>
      <c r="G21" s="64" t="str">
        <f t="shared" ref="G21:H21" si="48">(G5+G6)/G10</f>
        <v>#DIV/0!</v>
      </c>
      <c r="H21" s="65" t="str">
        <f t="shared" si="48"/>
        <v>#DIV/0!</v>
      </c>
      <c r="I21" s="82" t="str">
        <f t="shared" si="15"/>
        <v>#DIV/0!</v>
      </c>
      <c r="J21" s="83" t="str">
        <f t="shared" si="16"/>
        <v>#DIV/0!</v>
      </c>
      <c r="K21" s="68"/>
      <c r="L21" s="109" t="s">
        <v>48</v>
      </c>
      <c r="M21" s="64" t="str">
        <f t="shared" ref="M21:N21" si="49">(M5+M6)/M10</f>
        <v>#DIV/0!</v>
      </c>
      <c r="N21" s="65" t="str">
        <f t="shared" si="49"/>
        <v>#DIV/0!</v>
      </c>
      <c r="O21" s="82" t="str">
        <f t="shared" si="18"/>
        <v>#DIV/0!</v>
      </c>
      <c r="P21" s="83" t="str">
        <f t="shared" si="19"/>
        <v>#DIV/0!</v>
      </c>
      <c r="R21" s="14" t="s">
        <v>23</v>
      </c>
      <c r="S21" s="99"/>
      <c r="T21" s="100"/>
      <c r="U21" s="28"/>
      <c r="V21" s="24"/>
      <c r="W21" s="68"/>
      <c r="X21" s="14" t="s">
        <v>25</v>
      </c>
      <c r="Y21" s="103"/>
      <c r="Z21" s="35"/>
      <c r="AA21" s="35"/>
      <c r="AB21" s="32"/>
      <c r="AC21" s="68"/>
      <c r="AD21" s="110" t="s">
        <v>48</v>
      </c>
      <c r="AE21" s="55" t="str">
        <f t="shared" ref="AE21:AF21" si="50">(AE5+AE6)/AE10</f>
        <v>#DIV/0!</v>
      </c>
      <c r="AF21" s="56" t="str">
        <f t="shared" si="50"/>
        <v>#DIV/0!</v>
      </c>
      <c r="AG21" s="111" t="str">
        <f t="shared" si="23"/>
        <v>#DIV/0!</v>
      </c>
      <c r="AH21" s="77" t="str">
        <f t="shared" si="24"/>
        <v>#DIV/0!</v>
      </c>
      <c r="AI21" s="68"/>
      <c r="AJ21" s="68"/>
      <c r="AK21" s="68"/>
      <c r="AL21" s="68"/>
      <c r="AM21" s="68"/>
    </row>
    <row r="22">
      <c r="A22" s="68"/>
      <c r="B22" s="68"/>
      <c r="C22" s="68"/>
      <c r="D22" s="68"/>
      <c r="E22" s="68"/>
      <c r="F22" s="14"/>
      <c r="G22" s="68"/>
      <c r="H22" s="68"/>
      <c r="I22" s="68"/>
      <c r="J22" s="32"/>
      <c r="K22" s="68"/>
      <c r="L22" s="14"/>
      <c r="M22" s="68"/>
      <c r="N22" s="68"/>
      <c r="O22" s="68"/>
      <c r="P22" s="32"/>
      <c r="Q22" s="68"/>
      <c r="R22" s="14" t="s">
        <v>25</v>
      </c>
      <c r="S22" s="103"/>
      <c r="T22" s="35"/>
      <c r="U22" s="35"/>
      <c r="V22" s="32"/>
      <c r="W22" s="68"/>
      <c r="X22" s="14" t="s">
        <v>26</v>
      </c>
      <c r="Y22" s="103"/>
      <c r="Z22" s="35"/>
      <c r="AA22" s="35"/>
      <c r="AB22" s="32"/>
      <c r="AC22" s="68"/>
      <c r="AI22" s="68"/>
      <c r="AJ22" s="68"/>
      <c r="AK22" s="68"/>
      <c r="AL22" s="68"/>
      <c r="AM22" s="68"/>
    </row>
    <row r="23">
      <c r="A23" s="68"/>
      <c r="B23" s="68"/>
      <c r="C23" s="68"/>
      <c r="D23" s="68"/>
      <c r="E23" s="68"/>
      <c r="F23" s="14"/>
      <c r="G23" s="70">
        <v>2023.0</v>
      </c>
      <c r="H23" s="70">
        <v>2024.0</v>
      </c>
      <c r="I23" s="68"/>
      <c r="J23" s="32"/>
      <c r="K23" s="68"/>
      <c r="L23" s="14"/>
      <c r="M23" s="70">
        <v>2023.0</v>
      </c>
      <c r="N23" s="70">
        <v>2024.0</v>
      </c>
      <c r="O23" s="68"/>
      <c r="P23" s="32"/>
      <c r="Q23" s="68"/>
      <c r="R23" s="14" t="s">
        <v>26</v>
      </c>
      <c r="S23" s="103"/>
      <c r="T23" s="35"/>
      <c r="U23" s="35"/>
      <c r="V23" s="32"/>
      <c r="W23" s="68"/>
      <c r="X23" s="14" t="s">
        <v>28</v>
      </c>
      <c r="Y23" s="103"/>
      <c r="Z23" s="35"/>
      <c r="AA23" s="35"/>
      <c r="AB23" s="32"/>
      <c r="AC23" s="68"/>
      <c r="AD23" s="7" t="s">
        <v>81</v>
      </c>
      <c r="AE23" s="8" t="s">
        <v>13</v>
      </c>
      <c r="AF23" s="8" t="s">
        <v>14</v>
      </c>
      <c r="AG23" s="5"/>
      <c r="AH23" s="9"/>
      <c r="AI23" s="68"/>
      <c r="AJ23" s="68"/>
      <c r="AK23" s="68"/>
      <c r="AL23" s="68"/>
      <c r="AM23" s="68"/>
    </row>
    <row r="24">
      <c r="A24" s="68"/>
      <c r="B24" s="68"/>
      <c r="C24" s="68"/>
      <c r="D24" s="68"/>
      <c r="E24" s="68"/>
      <c r="F24" s="14"/>
      <c r="G24" s="79" t="s">
        <v>60</v>
      </c>
      <c r="H24" s="84" t="s">
        <v>61</v>
      </c>
      <c r="I24" s="71" t="s">
        <v>53</v>
      </c>
      <c r="J24" s="32"/>
      <c r="K24" s="68"/>
      <c r="L24" s="14"/>
      <c r="M24" s="79" t="s">
        <v>60</v>
      </c>
      <c r="N24" s="84" t="s">
        <v>61</v>
      </c>
      <c r="O24" s="71" t="s">
        <v>53</v>
      </c>
      <c r="P24" s="32"/>
      <c r="Q24" s="68"/>
      <c r="R24" s="14" t="s">
        <v>28</v>
      </c>
      <c r="S24" s="103"/>
      <c r="T24" s="35"/>
      <c r="U24" s="35"/>
      <c r="V24" s="32"/>
      <c r="W24" s="68"/>
      <c r="X24" s="14" t="s">
        <v>29</v>
      </c>
      <c r="Y24" s="103"/>
      <c r="Z24" s="35"/>
      <c r="AA24" s="35"/>
      <c r="AB24" s="32"/>
      <c r="AC24" s="68"/>
      <c r="AD24" s="14"/>
      <c r="AE24" s="79" t="s">
        <v>58</v>
      </c>
      <c r="AF24" s="79" t="s">
        <v>59</v>
      </c>
      <c r="AG24" s="16" t="s">
        <v>20</v>
      </c>
      <c r="AH24" s="17" t="s">
        <v>21</v>
      </c>
      <c r="AI24" s="68"/>
      <c r="AJ24" s="68"/>
      <c r="AK24" s="68"/>
      <c r="AL24" s="68"/>
      <c r="AM24" s="68"/>
    </row>
    <row r="25">
      <c r="A25" s="68"/>
      <c r="B25" s="68"/>
      <c r="C25" s="68"/>
      <c r="D25" s="68"/>
      <c r="E25" s="68"/>
      <c r="F25" s="14" t="s">
        <v>23</v>
      </c>
      <c r="G25" s="99"/>
      <c r="H25" s="114"/>
      <c r="I25" s="86"/>
      <c r="J25" s="32"/>
      <c r="K25" s="68"/>
      <c r="L25" s="14" t="s">
        <v>23</v>
      </c>
      <c r="M25" s="99"/>
      <c r="N25" s="114"/>
      <c r="O25" s="86"/>
      <c r="P25" s="32"/>
      <c r="Q25" s="68"/>
      <c r="R25" s="14" t="s">
        <v>29</v>
      </c>
      <c r="S25" s="103"/>
      <c r="T25" s="35"/>
      <c r="U25" s="35"/>
      <c r="V25" s="32"/>
      <c r="W25" s="68"/>
      <c r="X25" s="14" t="s">
        <v>30</v>
      </c>
      <c r="Y25" s="103"/>
      <c r="Z25" s="35"/>
      <c r="AA25" s="35"/>
      <c r="AB25" s="32"/>
      <c r="AC25" s="68"/>
      <c r="AD25" s="14" t="s">
        <v>23</v>
      </c>
      <c r="AE25" s="99"/>
      <c r="AF25" s="100"/>
      <c r="AG25" s="28"/>
      <c r="AH25" s="24"/>
      <c r="AI25" s="68"/>
      <c r="AJ25" s="68"/>
      <c r="AK25" s="68"/>
      <c r="AL25" s="68"/>
      <c r="AM25" s="68"/>
    </row>
    <row r="26">
      <c r="A26" s="68"/>
      <c r="B26" s="68"/>
      <c r="C26" s="68"/>
      <c r="D26" s="68"/>
      <c r="E26" s="68"/>
      <c r="F26" s="14" t="s">
        <v>24</v>
      </c>
      <c r="G26" s="101"/>
      <c r="H26" s="112"/>
      <c r="I26" s="87"/>
      <c r="J26" s="32"/>
      <c r="K26" s="68"/>
      <c r="L26" s="14" t="s">
        <v>24</v>
      </c>
      <c r="M26" s="101"/>
      <c r="N26" s="112"/>
      <c r="O26" s="87"/>
      <c r="P26" s="32"/>
      <c r="Q26" s="68"/>
      <c r="R26" s="14" t="s">
        <v>30</v>
      </c>
      <c r="S26" s="103"/>
      <c r="T26" s="35"/>
      <c r="U26" s="35"/>
      <c r="V26" s="32"/>
      <c r="W26" s="68"/>
      <c r="X26" s="109" t="s">
        <v>32</v>
      </c>
      <c r="Y26" s="46" t="str">
        <f t="shared" ref="Y26:Z26" si="51">Y25/Y22</f>
        <v>#DIV/0!</v>
      </c>
      <c r="Z26" s="47" t="str">
        <f t="shared" si="51"/>
        <v>#DIV/0!</v>
      </c>
      <c r="AA26" s="51" t="str">
        <f t="shared" ref="AA26:AA30" si="54">(Z26-Y26)/Y26</f>
        <v>#DIV/0!</v>
      </c>
      <c r="AB26" s="52" t="str">
        <f t="shared" ref="AB26:AB30" si="55">(AA26-#REF!)</f>
        <v>#DIV/0!</v>
      </c>
      <c r="AC26" s="68"/>
      <c r="AD26" s="14" t="s">
        <v>24</v>
      </c>
      <c r="AE26" s="101"/>
      <c r="AF26" s="102"/>
      <c r="AG26" s="35"/>
      <c r="AH26" s="32"/>
      <c r="AI26" s="68"/>
      <c r="AJ26" s="68"/>
      <c r="AK26" s="68"/>
      <c r="AL26" s="68"/>
      <c r="AM26" s="68"/>
    </row>
    <row r="27">
      <c r="A27" s="68"/>
      <c r="B27" s="68"/>
      <c r="C27" s="68"/>
      <c r="D27" s="68"/>
      <c r="E27" s="68"/>
      <c r="F27" s="14" t="s">
        <v>25</v>
      </c>
      <c r="G27" s="101"/>
      <c r="H27" s="112"/>
      <c r="I27" s="87"/>
      <c r="J27" s="32"/>
      <c r="K27" s="68"/>
      <c r="L27" s="14" t="s">
        <v>25</v>
      </c>
      <c r="M27" s="101"/>
      <c r="N27" s="112"/>
      <c r="O27" s="87"/>
      <c r="P27" s="32"/>
      <c r="Q27" s="68"/>
      <c r="R27" s="109" t="s">
        <v>32</v>
      </c>
      <c r="S27" s="46" t="str">
        <f t="shared" ref="S27:T27" si="52">S26/S23</f>
        <v>#DIV/0!</v>
      </c>
      <c r="T27" s="47" t="str">
        <f t="shared" si="52"/>
        <v>#DIV/0!</v>
      </c>
      <c r="U27" s="51" t="str">
        <f t="shared" ref="U27:U31" si="57">(T27-S27)/S27</f>
        <v>#DIV/0!</v>
      </c>
      <c r="V27" s="52" t="str">
        <f t="shared" ref="V27:V31" si="58">(U27-#REF!)</f>
        <v>#DIV/0!</v>
      </c>
      <c r="W27" s="68"/>
      <c r="X27" s="109" t="s">
        <v>33</v>
      </c>
      <c r="Y27" s="33" t="str">
        <f t="shared" ref="Y27:Z27" si="53">Y21/Y22</f>
        <v>#DIV/0!</v>
      </c>
      <c r="Z27" s="50" t="str">
        <f t="shared" si="53"/>
        <v>#DIV/0!</v>
      </c>
      <c r="AA27" s="51" t="str">
        <f t="shared" si="54"/>
        <v>#DIV/0!</v>
      </c>
      <c r="AB27" s="52" t="str">
        <f t="shared" si="55"/>
        <v>#DIV/0!</v>
      </c>
      <c r="AC27" s="68"/>
      <c r="AD27" s="14" t="s">
        <v>25</v>
      </c>
      <c r="AE27" s="103"/>
      <c r="AF27" s="35"/>
      <c r="AG27" s="35"/>
      <c r="AH27" s="32"/>
      <c r="AI27" s="68"/>
      <c r="AJ27" s="68"/>
      <c r="AK27" s="68"/>
      <c r="AL27" s="68"/>
      <c r="AM27" s="68"/>
    </row>
    <row r="28">
      <c r="A28" s="68"/>
      <c r="B28" s="68"/>
      <c r="C28" s="68"/>
      <c r="D28" s="68"/>
      <c r="E28" s="68"/>
      <c r="F28" s="14" t="s">
        <v>26</v>
      </c>
      <c r="G28" s="101"/>
      <c r="H28" s="112"/>
      <c r="I28" s="87"/>
      <c r="J28" s="32"/>
      <c r="K28" s="68"/>
      <c r="L28" s="14" t="s">
        <v>26</v>
      </c>
      <c r="M28" s="101"/>
      <c r="N28" s="112"/>
      <c r="O28" s="87"/>
      <c r="P28" s="32"/>
      <c r="Q28" s="68"/>
      <c r="R28" s="109" t="s">
        <v>33</v>
      </c>
      <c r="S28" s="33" t="str">
        <f t="shared" ref="S28:T28" si="56">S22/S23</f>
        <v>#DIV/0!</v>
      </c>
      <c r="T28" s="50" t="str">
        <f t="shared" si="56"/>
        <v>#DIV/0!</v>
      </c>
      <c r="U28" s="51" t="str">
        <f t="shared" si="57"/>
        <v>#DIV/0!</v>
      </c>
      <c r="V28" s="52" t="str">
        <f t="shared" si="58"/>
        <v>#DIV/0!</v>
      </c>
      <c r="W28" s="68"/>
      <c r="X28" s="109" t="s">
        <v>35</v>
      </c>
      <c r="Y28" s="33" t="str">
        <f t="shared" ref="Y28:Z28" si="59">SUM(Y20)/Y22</f>
        <v>#DIV/0!</v>
      </c>
      <c r="Z28" s="50" t="str">
        <f t="shared" si="59"/>
        <v>#DIV/0!</v>
      </c>
      <c r="AA28" s="51" t="str">
        <f t="shared" si="54"/>
        <v>#DIV/0!</v>
      </c>
      <c r="AB28" s="52" t="str">
        <f t="shared" si="55"/>
        <v>#DIV/0!</v>
      </c>
      <c r="AC28" s="68"/>
      <c r="AD28" s="14" t="s">
        <v>26</v>
      </c>
      <c r="AE28" s="103"/>
      <c r="AF28" s="35"/>
      <c r="AG28" s="35"/>
      <c r="AH28" s="32"/>
      <c r="AI28" s="68"/>
      <c r="AJ28" s="68"/>
      <c r="AK28" s="68"/>
      <c r="AL28" s="68"/>
      <c r="AM28" s="68"/>
    </row>
    <row r="29">
      <c r="A29" s="68"/>
      <c r="B29" s="68"/>
      <c r="C29" s="68"/>
      <c r="D29" s="68"/>
      <c r="E29" s="68"/>
      <c r="F29" s="14" t="s">
        <v>28</v>
      </c>
      <c r="G29" s="101"/>
      <c r="H29" s="112"/>
      <c r="I29" s="87"/>
      <c r="J29" s="32"/>
      <c r="K29" s="68"/>
      <c r="L29" s="14" t="s">
        <v>28</v>
      </c>
      <c r="M29" s="101"/>
      <c r="N29" s="112"/>
      <c r="O29" s="87"/>
      <c r="P29" s="32"/>
      <c r="Q29" s="68"/>
      <c r="R29" s="109" t="s">
        <v>35</v>
      </c>
      <c r="S29" s="33" t="str">
        <f t="shared" ref="S29:T29" si="60">SUM(S21)/S23</f>
        <v>#DIV/0!</v>
      </c>
      <c r="T29" s="50" t="str">
        <f t="shared" si="60"/>
        <v>#DIV/0!</v>
      </c>
      <c r="U29" s="51" t="str">
        <f t="shared" si="57"/>
        <v>#DIV/0!</v>
      </c>
      <c r="V29" s="52" t="str">
        <f t="shared" si="58"/>
        <v>#DIV/0!</v>
      </c>
      <c r="W29" s="68"/>
      <c r="X29" s="109" t="s">
        <v>36</v>
      </c>
      <c r="Y29" s="33" t="str">
        <f t="shared" ref="Y29:Z29" si="61">SUM(Y20)/Y23</f>
        <v>#DIV/0!</v>
      </c>
      <c r="Z29" s="50" t="str">
        <f t="shared" si="61"/>
        <v>#DIV/0!</v>
      </c>
      <c r="AA29" s="51" t="str">
        <f t="shared" si="54"/>
        <v>#DIV/0!</v>
      </c>
      <c r="AB29" s="52" t="str">
        <f t="shared" si="55"/>
        <v>#DIV/0!</v>
      </c>
      <c r="AC29" s="68"/>
      <c r="AD29" s="14" t="s">
        <v>28</v>
      </c>
      <c r="AE29" s="103"/>
      <c r="AF29" s="35"/>
      <c r="AG29" s="35"/>
      <c r="AH29" s="32"/>
      <c r="AI29" s="68"/>
      <c r="AJ29" s="68"/>
      <c r="AK29" s="68"/>
      <c r="AL29" s="68"/>
      <c r="AM29" s="68"/>
    </row>
    <row r="30">
      <c r="A30" s="68"/>
      <c r="B30" s="68"/>
      <c r="C30" s="68"/>
      <c r="D30" s="68"/>
      <c r="E30" s="68"/>
      <c r="F30" s="14" t="s">
        <v>29</v>
      </c>
      <c r="G30" s="101"/>
      <c r="H30" s="112"/>
      <c r="I30" s="87"/>
      <c r="J30" s="32"/>
      <c r="K30" s="68"/>
      <c r="L30" s="14" t="s">
        <v>29</v>
      </c>
      <c r="M30" s="101"/>
      <c r="N30" s="112"/>
      <c r="O30" s="87"/>
      <c r="P30" s="32"/>
      <c r="Q30" s="68"/>
      <c r="R30" s="109" t="s">
        <v>36</v>
      </c>
      <c r="S30" s="33" t="str">
        <f t="shared" ref="S30:T30" si="62">SUM(S21)/S24</f>
        <v>#DIV/0!</v>
      </c>
      <c r="T30" s="50" t="str">
        <f t="shared" si="62"/>
        <v>#DIV/0!</v>
      </c>
      <c r="U30" s="51" t="str">
        <f t="shared" si="57"/>
        <v>#DIV/0!</v>
      </c>
      <c r="V30" s="52" t="str">
        <f t="shared" si="58"/>
        <v>#DIV/0!</v>
      </c>
      <c r="W30" s="68"/>
      <c r="X30" s="110" t="s">
        <v>37</v>
      </c>
      <c r="Y30" s="55" t="str">
        <f t="shared" ref="Y30:Z30" si="63">(Y20)/Y24</f>
        <v>#DIV/0!</v>
      </c>
      <c r="Z30" s="55" t="str">
        <f t="shared" si="63"/>
        <v>#DIV/0!</v>
      </c>
      <c r="AA30" s="111" t="str">
        <f t="shared" si="54"/>
        <v>#DIV/0!</v>
      </c>
      <c r="AB30" s="77" t="str">
        <f t="shared" si="55"/>
        <v>#DIV/0!</v>
      </c>
      <c r="AC30" s="68"/>
      <c r="AD30" s="14" t="s">
        <v>29</v>
      </c>
      <c r="AE30" s="103"/>
      <c r="AF30" s="35"/>
      <c r="AG30" s="35"/>
      <c r="AH30" s="32"/>
      <c r="AI30" s="68"/>
      <c r="AJ30" s="68"/>
      <c r="AK30" s="68"/>
      <c r="AL30" s="68"/>
      <c r="AM30" s="68"/>
    </row>
    <row r="31">
      <c r="A31" s="68"/>
      <c r="B31" s="68"/>
      <c r="C31" s="68"/>
      <c r="D31" s="68"/>
      <c r="E31" s="68"/>
      <c r="F31" s="14" t="s">
        <v>31</v>
      </c>
      <c r="G31" s="101"/>
      <c r="H31" s="112"/>
      <c r="I31" s="87"/>
      <c r="J31" s="32"/>
      <c r="K31" s="68"/>
      <c r="L31" s="14" t="s">
        <v>31</v>
      </c>
      <c r="M31" s="101"/>
      <c r="N31" s="112"/>
      <c r="O31" s="87"/>
      <c r="P31" s="32"/>
      <c r="Q31" s="68"/>
      <c r="R31" s="110" t="s">
        <v>37</v>
      </c>
      <c r="S31" s="55" t="str">
        <f t="shared" ref="S31:T31" si="64">(S21)/S25</f>
        <v>#DIV/0!</v>
      </c>
      <c r="T31" s="55" t="str">
        <f t="shared" si="64"/>
        <v>#DIV/0!</v>
      </c>
      <c r="U31" s="111" t="str">
        <f t="shared" si="57"/>
        <v>#DIV/0!</v>
      </c>
      <c r="V31" s="77" t="str">
        <f t="shared" si="58"/>
        <v>#DIV/0!</v>
      </c>
      <c r="W31" s="68"/>
      <c r="X31" s="68"/>
      <c r="Y31" s="68"/>
      <c r="Z31" s="68"/>
      <c r="AA31" s="68"/>
      <c r="AB31" s="68"/>
      <c r="AC31" s="68"/>
      <c r="AD31" s="14" t="s">
        <v>31</v>
      </c>
      <c r="AE31" s="103"/>
      <c r="AF31" s="35"/>
      <c r="AG31" s="35"/>
      <c r="AH31" s="32"/>
      <c r="AI31" s="68"/>
      <c r="AJ31" s="68"/>
      <c r="AK31" s="68"/>
      <c r="AL31" s="68"/>
      <c r="AM31" s="68"/>
    </row>
    <row r="32">
      <c r="A32" s="68"/>
      <c r="B32" s="68"/>
      <c r="C32" s="68"/>
      <c r="D32" s="68"/>
      <c r="E32" s="68"/>
      <c r="F32" s="14" t="s">
        <v>30</v>
      </c>
      <c r="G32" s="101"/>
      <c r="H32" s="112"/>
      <c r="I32" s="87"/>
      <c r="J32" s="32"/>
      <c r="K32" s="68"/>
      <c r="L32" s="14" t="s">
        <v>30</v>
      </c>
      <c r="M32" s="101"/>
      <c r="N32" s="112"/>
      <c r="O32" s="87"/>
      <c r="P32" s="32"/>
      <c r="Q32" s="68"/>
      <c r="R32" s="68"/>
      <c r="S32" s="68"/>
      <c r="T32" s="68"/>
      <c r="U32" s="68"/>
      <c r="V32" s="68"/>
      <c r="W32" s="68"/>
      <c r="X32" s="60" t="s">
        <v>40</v>
      </c>
      <c r="Y32" s="68"/>
      <c r="Z32" s="68"/>
      <c r="AA32" s="68"/>
      <c r="AB32" s="68"/>
      <c r="AC32" s="68"/>
      <c r="AD32" s="14" t="s">
        <v>30</v>
      </c>
      <c r="AE32" s="103"/>
      <c r="AF32" s="35"/>
      <c r="AG32" s="35"/>
      <c r="AH32" s="32"/>
      <c r="AI32" s="68"/>
      <c r="AJ32" s="68"/>
      <c r="AK32" s="68"/>
      <c r="AL32" s="68"/>
      <c r="AM32" s="68"/>
    </row>
    <row r="33">
      <c r="A33" s="68"/>
      <c r="B33" s="68"/>
      <c r="C33" s="68"/>
      <c r="D33" s="68"/>
      <c r="E33" s="68"/>
      <c r="F33" s="109" t="s">
        <v>34</v>
      </c>
      <c r="G33" s="46" t="str">
        <f t="shared" ref="G33:H33" si="65">G31/G28</f>
        <v>#DIV/0!</v>
      </c>
      <c r="H33" s="67" t="str">
        <f t="shared" si="65"/>
        <v>#DIV/0!</v>
      </c>
      <c r="I33" s="67" t="str">
        <f t="shared" ref="I33:I40" si="69">(H33-G33)/G33</f>
        <v>#DIV/0!</v>
      </c>
      <c r="J33" s="52"/>
      <c r="K33" s="68"/>
      <c r="L33" s="109" t="s">
        <v>34</v>
      </c>
      <c r="M33" s="46" t="str">
        <f t="shared" ref="M33:N33" si="66">M31/M28</f>
        <v>#DIV/0!</v>
      </c>
      <c r="N33" s="67" t="str">
        <f t="shared" si="66"/>
        <v>#DIV/0!</v>
      </c>
      <c r="O33" s="67" t="str">
        <f t="shared" ref="O33:O40" si="71">(N33-M33)/M33</f>
        <v>#DIV/0!</v>
      </c>
      <c r="P33" s="52"/>
      <c r="Q33" s="68"/>
      <c r="R33" s="7" t="s">
        <v>82</v>
      </c>
      <c r="S33" s="8" t="s">
        <v>13</v>
      </c>
      <c r="T33" s="8" t="s">
        <v>14</v>
      </c>
      <c r="U33" s="5"/>
      <c r="V33" s="9"/>
      <c r="W33" s="68"/>
      <c r="X33" s="60" t="s">
        <v>45</v>
      </c>
      <c r="Y33" s="68"/>
      <c r="Z33" s="68"/>
      <c r="AA33" s="68"/>
      <c r="AB33" s="68"/>
      <c r="AC33" s="68"/>
      <c r="AD33" s="109" t="s">
        <v>34</v>
      </c>
      <c r="AE33" s="46" t="str">
        <f t="shared" ref="AE33:AF33" si="67">AE31/AE28</f>
        <v>#DIV/0!</v>
      </c>
      <c r="AF33" s="47" t="str">
        <f t="shared" si="67"/>
        <v>#DIV/0!</v>
      </c>
      <c r="AG33" s="51" t="str">
        <f t="shared" ref="AG33:AG40" si="73">(AF33-AE33)/AE33</f>
        <v>#DIV/0!</v>
      </c>
      <c r="AH33" s="52" t="str">
        <f t="shared" ref="AH33:AH40" si="74">(AG33-#REF!)</f>
        <v>#DIV/0!</v>
      </c>
      <c r="AI33" s="68"/>
      <c r="AJ33" s="68"/>
      <c r="AK33" s="68"/>
      <c r="AL33" s="68"/>
      <c r="AM33" s="68"/>
    </row>
    <row r="34">
      <c r="A34" s="68"/>
      <c r="B34" s="68"/>
      <c r="C34" s="68"/>
      <c r="D34" s="68"/>
      <c r="E34" s="68"/>
      <c r="F34" s="109" t="s">
        <v>32</v>
      </c>
      <c r="G34" s="46" t="str">
        <f t="shared" ref="G34:H34" si="68">G32/G28</f>
        <v>#DIV/0!</v>
      </c>
      <c r="H34" s="67" t="str">
        <f t="shared" si="68"/>
        <v>#DIV/0!</v>
      </c>
      <c r="I34" s="67" t="str">
        <f t="shared" si="69"/>
        <v>#DIV/0!</v>
      </c>
      <c r="J34" s="52"/>
      <c r="K34" s="68"/>
      <c r="L34" s="109" t="s">
        <v>32</v>
      </c>
      <c r="M34" s="46" t="str">
        <f t="shared" ref="M34:N34" si="70">M32/M28</f>
        <v>#DIV/0!</v>
      </c>
      <c r="N34" s="67" t="str">
        <f t="shared" si="70"/>
        <v>#DIV/0!</v>
      </c>
      <c r="O34" s="67" t="str">
        <f t="shared" si="71"/>
        <v>#DIV/0!</v>
      </c>
      <c r="P34" s="52"/>
      <c r="Q34" s="68"/>
      <c r="R34" s="14"/>
      <c r="S34" s="79" t="s">
        <v>58</v>
      </c>
      <c r="T34" s="79" t="s">
        <v>59</v>
      </c>
      <c r="U34" s="16" t="s">
        <v>20</v>
      </c>
      <c r="V34" s="17" t="s">
        <v>21</v>
      </c>
      <c r="W34" s="68"/>
      <c r="X34" s="68"/>
      <c r="Y34" s="68"/>
      <c r="Z34" s="68"/>
      <c r="AA34" s="68"/>
      <c r="AB34" s="68"/>
      <c r="AC34" s="68"/>
      <c r="AD34" s="109" t="s">
        <v>32</v>
      </c>
      <c r="AE34" s="46" t="str">
        <f t="shared" ref="AE34:AF34" si="72">AE32/AE28</f>
        <v>#DIV/0!</v>
      </c>
      <c r="AF34" s="47" t="str">
        <f t="shared" si="72"/>
        <v>#DIV/0!</v>
      </c>
      <c r="AG34" s="51" t="str">
        <f t="shared" si="73"/>
        <v>#DIV/0!</v>
      </c>
      <c r="AH34" s="52" t="str">
        <f t="shared" si="74"/>
        <v>#DIV/0!</v>
      </c>
      <c r="AI34" s="68"/>
      <c r="AJ34" s="68"/>
      <c r="AK34" s="68"/>
      <c r="AL34" s="68"/>
      <c r="AM34" s="68"/>
    </row>
    <row r="35">
      <c r="A35" s="68"/>
      <c r="B35" s="68"/>
      <c r="C35" s="68"/>
      <c r="D35" s="68"/>
      <c r="E35" s="68"/>
      <c r="F35" s="109" t="s">
        <v>33</v>
      </c>
      <c r="G35" s="33" t="str">
        <f t="shared" ref="G35:H35" si="75">G27/G28</f>
        <v>#DIV/0!</v>
      </c>
      <c r="H35" s="34" t="str">
        <f t="shared" si="75"/>
        <v>#DIV/0!</v>
      </c>
      <c r="I35" s="67" t="str">
        <f t="shared" si="69"/>
        <v>#DIV/0!</v>
      </c>
      <c r="J35" s="52"/>
      <c r="K35" s="68"/>
      <c r="L35" s="109" t="s">
        <v>33</v>
      </c>
      <c r="M35" s="33" t="str">
        <f t="shared" ref="M35:N35" si="76">M27/M28</f>
        <v>#DIV/0!</v>
      </c>
      <c r="N35" s="34" t="str">
        <f t="shared" si="76"/>
        <v>#DIV/0!</v>
      </c>
      <c r="O35" s="67" t="str">
        <f t="shared" si="71"/>
        <v>#DIV/0!</v>
      </c>
      <c r="P35" s="52"/>
      <c r="Q35" s="68"/>
      <c r="R35" s="14" t="s">
        <v>23</v>
      </c>
      <c r="S35" s="99"/>
      <c r="T35" s="100"/>
      <c r="U35" s="28"/>
      <c r="V35" s="24"/>
      <c r="W35" s="68"/>
      <c r="X35" s="68"/>
      <c r="Y35" s="68"/>
      <c r="Z35" s="68"/>
      <c r="AA35" s="68"/>
      <c r="AB35" s="68"/>
      <c r="AC35" s="68"/>
      <c r="AD35" s="109" t="s">
        <v>33</v>
      </c>
      <c r="AE35" s="33" t="str">
        <f t="shared" ref="AE35:AF35" si="77">AE27/AE28</f>
        <v>#DIV/0!</v>
      </c>
      <c r="AF35" s="50" t="str">
        <f t="shared" si="77"/>
        <v>#DIV/0!</v>
      </c>
      <c r="AG35" s="51" t="str">
        <f t="shared" si="73"/>
        <v>#DIV/0!</v>
      </c>
      <c r="AH35" s="52" t="str">
        <f t="shared" si="74"/>
        <v>#DIV/0!</v>
      </c>
      <c r="AI35" s="68"/>
      <c r="AJ35" s="68"/>
      <c r="AK35" s="68"/>
      <c r="AL35" s="68"/>
      <c r="AM35" s="68"/>
    </row>
    <row r="36">
      <c r="A36" s="68"/>
      <c r="B36" s="68"/>
      <c r="C36" s="68"/>
      <c r="D36" s="68"/>
      <c r="E36" s="68"/>
      <c r="F36" s="109" t="s">
        <v>38</v>
      </c>
      <c r="G36" s="33" t="str">
        <f t="shared" ref="G36:H36" si="78">G25/G28</f>
        <v>#DIV/0!</v>
      </c>
      <c r="H36" s="34" t="str">
        <f t="shared" si="78"/>
        <v>#DIV/0!</v>
      </c>
      <c r="I36" s="67" t="str">
        <f t="shared" si="69"/>
        <v>#DIV/0!</v>
      </c>
      <c r="J36" s="52"/>
      <c r="K36" s="68"/>
      <c r="L36" s="109" t="s">
        <v>38</v>
      </c>
      <c r="M36" s="33" t="str">
        <f t="shared" ref="M36:N36" si="79">M25/M28</f>
        <v>#DIV/0!</v>
      </c>
      <c r="N36" s="34" t="str">
        <f t="shared" si="79"/>
        <v>#DIV/0!</v>
      </c>
      <c r="O36" s="67" t="str">
        <f t="shared" si="71"/>
        <v>#DIV/0!</v>
      </c>
      <c r="P36" s="52"/>
      <c r="Q36" s="68"/>
      <c r="R36" s="14" t="s">
        <v>25</v>
      </c>
      <c r="S36" s="103"/>
      <c r="T36" s="35"/>
      <c r="U36" s="35"/>
      <c r="V36" s="32"/>
      <c r="W36" s="68"/>
      <c r="X36" s="68"/>
      <c r="Y36" s="68"/>
      <c r="Z36" s="68"/>
      <c r="AA36" s="68"/>
      <c r="AB36" s="68"/>
      <c r="AC36" s="68"/>
      <c r="AD36" s="109" t="s">
        <v>38</v>
      </c>
      <c r="AE36" s="33" t="str">
        <f t="shared" ref="AE36:AF36" si="80">AE25/AE28</f>
        <v>#DIV/0!</v>
      </c>
      <c r="AF36" s="50" t="str">
        <f t="shared" si="80"/>
        <v>#DIV/0!</v>
      </c>
      <c r="AG36" s="51" t="str">
        <f t="shared" si="73"/>
        <v>#DIV/0!</v>
      </c>
      <c r="AH36" s="52" t="str">
        <f t="shared" si="74"/>
        <v>#DIV/0!</v>
      </c>
      <c r="AI36" s="68"/>
      <c r="AJ36" s="68"/>
      <c r="AK36" s="68"/>
      <c r="AL36" s="68"/>
      <c r="AM36" s="68"/>
    </row>
    <row r="37">
      <c r="A37" s="68"/>
      <c r="B37" s="68"/>
      <c r="C37" s="68"/>
      <c r="D37" s="68"/>
      <c r="E37" s="68"/>
      <c r="F37" s="109" t="s">
        <v>39</v>
      </c>
      <c r="G37" s="33" t="str">
        <f t="shared" ref="G37:H37" si="81">SUM(G26:G27)/G28</f>
        <v>#DIV/0!</v>
      </c>
      <c r="H37" s="34" t="str">
        <f t="shared" si="81"/>
        <v>#DIV/0!</v>
      </c>
      <c r="I37" s="67" t="str">
        <f t="shared" si="69"/>
        <v>#DIV/0!</v>
      </c>
      <c r="J37" s="52"/>
      <c r="K37" s="68"/>
      <c r="L37" s="109" t="s">
        <v>39</v>
      </c>
      <c r="M37" s="33" t="str">
        <f t="shared" ref="M37:N37" si="82">SUM(M26:M27)/M28</f>
        <v>#DIV/0!</v>
      </c>
      <c r="N37" s="34" t="str">
        <f t="shared" si="82"/>
        <v>#DIV/0!</v>
      </c>
      <c r="O37" s="67" t="str">
        <f t="shared" si="71"/>
        <v>#DIV/0!</v>
      </c>
      <c r="P37" s="52"/>
      <c r="Q37" s="68"/>
      <c r="R37" s="14" t="s">
        <v>26</v>
      </c>
      <c r="S37" s="103"/>
      <c r="T37" s="35"/>
      <c r="U37" s="35"/>
      <c r="V37" s="32"/>
      <c r="W37" s="68"/>
      <c r="X37" s="68"/>
      <c r="Y37" s="68"/>
      <c r="Z37" s="68"/>
      <c r="AA37" s="68"/>
      <c r="AB37" s="68"/>
      <c r="AC37" s="68"/>
      <c r="AD37" s="109" t="s">
        <v>39</v>
      </c>
      <c r="AE37" s="33" t="str">
        <f t="shared" ref="AE37:AF37" si="83">SUM(AE26:AE27)/AE28</f>
        <v>#DIV/0!</v>
      </c>
      <c r="AF37" s="50" t="str">
        <f t="shared" si="83"/>
        <v>#DIV/0!</v>
      </c>
      <c r="AG37" s="51" t="str">
        <f t="shared" si="73"/>
        <v>#DIV/0!</v>
      </c>
      <c r="AH37" s="52" t="str">
        <f t="shared" si="74"/>
        <v>#DIV/0!</v>
      </c>
      <c r="AI37" s="68"/>
      <c r="AJ37" s="68"/>
      <c r="AK37" s="68"/>
      <c r="AL37" s="68"/>
      <c r="AM37" s="68"/>
    </row>
    <row r="38">
      <c r="A38" s="68"/>
      <c r="B38" s="68"/>
      <c r="C38" s="68"/>
      <c r="D38" s="68"/>
      <c r="E38" s="68"/>
      <c r="F38" s="109" t="s">
        <v>43</v>
      </c>
      <c r="G38" s="33" t="str">
        <f t="shared" ref="G38:H38" si="84">SUM(G25:G26)/G28</f>
        <v>#DIV/0!</v>
      </c>
      <c r="H38" s="34" t="str">
        <f t="shared" si="84"/>
        <v>#DIV/0!</v>
      </c>
      <c r="I38" s="67" t="str">
        <f t="shared" si="69"/>
        <v>#DIV/0!</v>
      </c>
      <c r="J38" s="52"/>
      <c r="K38" s="68"/>
      <c r="L38" s="109" t="s">
        <v>43</v>
      </c>
      <c r="M38" s="33" t="str">
        <f t="shared" ref="M38:N38" si="85">SUM(M25:M26)/M28</f>
        <v>#DIV/0!</v>
      </c>
      <c r="N38" s="34" t="str">
        <f t="shared" si="85"/>
        <v>#DIV/0!</v>
      </c>
      <c r="O38" s="67" t="str">
        <f t="shared" si="71"/>
        <v>#DIV/0!</v>
      </c>
      <c r="P38" s="52"/>
      <c r="Q38" s="68"/>
      <c r="R38" s="14" t="s">
        <v>28</v>
      </c>
      <c r="S38" s="103"/>
      <c r="T38" s="35"/>
      <c r="U38" s="35"/>
      <c r="V38" s="32"/>
      <c r="W38" s="68"/>
      <c r="X38" s="68"/>
      <c r="Y38" s="68"/>
      <c r="Z38" s="68"/>
      <c r="AA38" s="68"/>
      <c r="AB38" s="68"/>
      <c r="AC38" s="68"/>
      <c r="AD38" s="109" t="s">
        <v>43</v>
      </c>
      <c r="AE38" s="33" t="str">
        <f t="shared" ref="AE38:AF38" si="86">SUM(AE25:AE26)/AE28</f>
        <v>#DIV/0!</v>
      </c>
      <c r="AF38" s="50" t="str">
        <f t="shared" si="86"/>
        <v>#DIV/0!</v>
      </c>
      <c r="AG38" s="51" t="str">
        <f t="shared" si="73"/>
        <v>#DIV/0!</v>
      </c>
      <c r="AH38" s="52" t="str">
        <f t="shared" si="74"/>
        <v>#DIV/0!</v>
      </c>
      <c r="AI38" s="68"/>
      <c r="AJ38" s="68"/>
      <c r="AK38" s="68"/>
      <c r="AL38" s="68"/>
      <c r="AM38" s="68"/>
    </row>
    <row r="39">
      <c r="A39" s="68"/>
      <c r="B39" s="68"/>
      <c r="C39" s="68"/>
      <c r="D39" s="68"/>
      <c r="E39" s="68"/>
      <c r="F39" s="109" t="s">
        <v>44</v>
      </c>
      <c r="G39" s="33" t="str">
        <f t="shared" ref="G39:H39" si="87">SUM(G25:G26)/G29</f>
        <v>#DIV/0!</v>
      </c>
      <c r="H39" s="34" t="str">
        <f t="shared" si="87"/>
        <v>#DIV/0!</v>
      </c>
      <c r="I39" s="67" t="str">
        <f t="shared" si="69"/>
        <v>#DIV/0!</v>
      </c>
      <c r="J39" s="52"/>
      <c r="K39" s="68"/>
      <c r="L39" s="109" t="s">
        <v>44</v>
      </c>
      <c r="M39" s="33" t="str">
        <f t="shared" ref="M39:N39" si="88">SUM(M25:M26)/M29</f>
        <v>#DIV/0!</v>
      </c>
      <c r="N39" s="34" t="str">
        <f t="shared" si="88"/>
        <v>#DIV/0!</v>
      </c>
      <c r="O39" s="67" t="str">
        <f t="shared" si="71"/>
        <v>#DIV/0!</v>
      </c>
      <c r="P39" s="52"/>
      <c r="Q39" s="68"/>
      <c r="R39" s="14" t="s">
        <v>29</v>
      </c>
      <c r="S39" s="103"/>
      <c r="T39" s="35"/>
      <c r="U39" s="35"/>
      <c r="V39" s="32"/>
      <c r="W39" s="68"/>
      <c r="X39" s="68"/>
      <c r="Y39" s="68"/>
      <c r="Z39" s="68"/>
      <c r="AA39" s="68"/>
      <c r="AB39" s="68"/>
      <c r="AC39" s="68"/>
      <c r="AD39" s="109" t="s">
        <v>44</v>
      </c>
      <c r="AE39" s="33" t="str">
        <f t="shared" ref="AE39:AF39" si="89">SUM(AE25:AE26)/AE29</f>
        <v>#DIV/0!</v>
      </c>
      <c r="AF39" s="50" t="str">
        <f t="shared" si="89"/>
        <v>#DIV/0!</v>
      </c>
      <c r="AG39" s="51" t="str">
        <f t="shared" si="73"/>
        <v>#DIV/0!</v>
      </c>
      <c r="AH39" s="52" t="str">
        <f t="shared" si="74"/>
        <v>#DIV/0!</v>
      </c>
      <c r="AI39" s="68"/>
      <c r="AJ39" s="68"/>
      <c r="AK39" s="68"/>
      <c r="AL39" s="68"/>
      <c r="AM39" s="68"/>
    </row>
    <row r="40">
      <c r="A40" s="68"/>
      <c r="B40" s="68"/>
      <c r="C40" s="68"/>
      <c r="D40" s="68"/>
      <c r="E40" s="68"/>
      <c r="F40" s="110" t="s">
        <v>48</v>
      </c>
      <c r="G40" s="55" t="str">
        <f t="shared" ref="G40:H40" si="90">(G25+G26)/G30</f>
        <v>#DIV/0!</v>
      </c>
      <c r="H40" s="76" t="str">
        <f t="shared" si="90"/>
        <v>#DIV/0!</v>
      </c>
      <c r="I40" s="89" t="str">
        <f t="shared" si="69"/>
        <v>#DIV/0!</v>
      </c>
      <c r="J40" s="77"/>
      <c r="K40" s="68"/>
      <c r="L40" s="110" t="s">
        <v>48</v>
      </c>
      <c r="M40" s="55" t="str">
        <f t="shared" ref="M40:N40" si="91">(M25+M26)/M30</f>
        <v>#DIV/0!</v>
      </c>
      <c r="N40" s="76" t="str">
        <f t="shared" si="91"/>
        <v>#DIV/0!</v>
      </c>
      <c r="O40" s="89" t="str">
        <f t="shared" si="71"/>
        <v>#DIV/0!</v>
      </c>
      <c r="P40" s="77"/>
      <c r="Q40" s="68"/>
      <c r="R40" s="14" t="s">
        <v>30</v>
      </c>
      <c r="S40" s="103"/>
      <c r="T40" s="35"/>
      <c r="U40" s="35"/>
      <c r="V40" s="32"/>
      <c r="W40" s="68"/>
      <c r="X40" s="68"/>
      <c r="Y40" s="68"/>
      <c r="Z40" s="68"/>
      <c r="AA40" s="68"/>
      <c r="AB40" s="68"/>
      <c r="AC40" s="68"/>
      <c r="AD40" s="110" t="s">
        <v>48</v>
      </c>
      <c r="AE40" s="55" t="str">
        <f t="shared" ref="AE40:AF40" si="92">(AE25+AE26)/AE30</f>
        <v>#DIV/0!</v>
      </c>
      <c r="AF40" s="56" t="str">
        <f t="shared" si="92"/>
        <v>#DIV/0!</v>
      </c>
      <c r="AG40" s="111" t="str">
        <f t="shared" si="73"/>
        <v>#DIV/0!</v>
      </c>
      <c r="AH40" s="77" t="str">
        <f t="shared" si="74"/>
        <v>#DIV/0!</v>
      </c>
      <c r="AI40" s="68"/>
      <c r="AJ40" s="68"/>
      <c r="AK40" s="68"/>
      <c r="AL40" s="68"/>
      <c r="AM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109" t="s">
        <v>32</v>
      </c>
      <c r="S41" s="46" t="str">
        <f t="shared" ref="S41:T41" si="93">S40/S37</f>
        <v>#DIV/0!</v>
      </c>
      <c r="T41" s="47" t="str">
        <f t="shared" si="93"/>
        <v>#DIV/0!</v>
      </c>
      <c r="U41" s="51" t="str">
        <f t="shared" ref="U41:U45" si="95">(T41-S41)/S41</f>
        <v>#DIV/0!</v>
      </c>
      <c r="V41" s="52" t="str">
        <f t="shared" ref="V41:V45" si="96">(U41-#REF!)</f>
        <v>#DIV/0!</v>
      </c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</row>
    <row r="42">
      <c r="A42" s="68"/>
      <c r="B42" s="68"/>
      <c r="C42" s="68"/>
      <c r="D42" s="68"/>
      <c r="E42" s="68"/>
      <c r="F42" s="7" t="s">
        <v>83</v>
      </c>
      <c r="G42" s="8" t="s">
        <v>13</v>
      </c>
      <c r="H42" s="8" t="s">
        <v>14</v>
      </c>
      <c r="I42" s="5"/>
      <c r="J42" s="9"/>
      <c r="K42" s="68"/>
      <c r="L42" s="7" t="s">
        <v>84</v>
      </c>
      <c r="M42" s="8" t="s">
        <v>13</v>
      </c>
      <c r="N42" s="8" t="s">
        <v>14</v>
      </c>
      <c r="O42" s="5"/>
      <c r="P42" s="9"/>
      <c r="Q42" s="68"/>
      <c r="R42" s="109" t="s">
        <v>33</v>
      </c>
      <c r="S42" s="33" t="str">
        <f t="shared" ref="S42:T42" si="94">S36/S37</f>
        <v>#DIV/0!</v>
      </c>
      <c r="T42" s="50" t="str">
        <f t="shared" si="94"/>
        <v>#DIV/0!</v>
      </c>
      <c r="U42" s="51" t="str">
        <f t="shared" si="95"/>
        <v>#DIV/0!</v>
      </c>
      <c r="V42" s="52" t="str">
        <f t="shared" si="96"/>
        <v>#DIV/0!</v>
      </c>
      <c r="W42" s="68"/>
      <c r="X42" s="68"/>
      <c r="Y42" s="68"/>
      <c r="Z42" s="68"/>
      <c r="AA42" s="68"/>
      <c r="AB42" s="68"/>
      <c r="AC42" s="68"/>
      <c r="AD42" s="60" t="s">
        <v>40</v>
      </c>
      <c r="AE42" s="68"/>
      <c r="AF42" s="68"/>
      <c r="AG42" s="68"/>
      <c r="AH42" s="68"/>
      <c r="AI42" s="68"/>
      <c r="AJ42" s="68"/>
      <c r="AK42" s="68"/>
      <c r="AL42" s="68"/>
      <c r="AM42" s="68"/>
    </row>
    <row r="43">
      <c r="A43" s="68"/>
      <c r="B43" s="68"/>
      <c r="C43" s="68"/>
      <c r="D43" s="68"/>
      <c r="E43" s="68"/>
      <c r="F43" s="14"/>
      <c r="G43" s="79" t="s">
        <v>58</v>
      </c>
      <c r="H43" s="79" t="s">
        <v>59</v>
      </c>
      <c r="I43" s="16" t="s">
        <v>20</v>
      </c>
      <c r="J43" s="17" t="s">
        <v>21</v>
      </c>
      <c r="K43" s="68"/>
      <c r="L43" s="14"/>
      <c r="M43" s="79" t="s">
        <v>58</v>
      </c>
      <c r="N43" s="79" t="s">
        <v>59</v>
      </c>
      <c r="O43" s="16" t="s">
        <v>20</v>
      </c>
      <c r="P43" s="17" t="s">
        <v>21</v>
      </c>
      <c r="Q43" s="68"/>
      <c r="R43" s="109" t="s">
        <v>35</v>
      </c>
      <c r="S43" s="33" t="str">
        <f t="shared" ref="S43:T43" si="97">SUM(S35)/S37</f>
        <v>#DIV/0!</v>
      </c>
      <c r="T43" s="50" t="str">
        <f t="shared" si="97"/>
        <v>#DIV/0!</v>
      </c>
      <c r="U43" s="51" t="str">
        <f t="shared" si="95"/>
        <v>#DIV/0!</v>
      </c>
      <c r="V43" s="52" t="str">
        <f t="shared" si="96"/>
        <v>#DIV/0!</v>
      </c>
      <c r="W43" s="68"/>
      <c r="X43" s="68"/>
      <c r="Y43" s="68"/>
      <c r="Z43" s="68"/>
      <c r="AA43" s="68"/>
      <c r="AB43" s="68"/>
      <c r="AC43" s="68"/>
      <c r="AD43" s="60" t="s">
        <v>45</v>
      </c>
      <c r="AE43" s="68"/>
      <c r="AF43" s="68"/>
      <c r="AG43" s="68"/>
      <c r="AH43" s="68"/>
      <c r="AI43" s="68"/>
      <c r="AJ43" s="68"/>
      <c r="AK43" s="68"/>
      <c r="AL43" s="68"/>
      <c r="AM43" s="68"/>
    </row>
    <row r="44">
      <c r="A44" s="68"/>
      <c r="B44" s="68"/>
      <c r="C44" s="68"/>
      <c r="D44" s="68"/>
      <c r="E44" s="68"/>
      <c r="F44" s="14" t="s">
        <v>23</v>
      </c>
      <c r="G44" s="99"/>
      <c r="H44" s="100"/>
      <c r="I44" s="28"/>
      <c r="J44" s="24"/>
      <c r="K44" s="68"/>
      <c r="L44" s="14" t="s">
        <v>23</v>
      </c>
      <c r="M44" s="99"/>
      <c r="N44" s="100"/>
      <c r="O44" s="28"/>
      <c r="P44" s="24"/>
      <c r="Q44" s="68"/>
      <c r="R44" s="109" t="s">
        <v>36</v>
      </c>
      <c r="S44" s="33" t="str">
        <f t="shared" ref="S44:T44" si="98">SUM(S35)/S38</f>
        <v>#DIV/0!</v>
      </c>
      <c r="T44" s="50" t="str">
        <f t="shared" si="98"/>
        <v>#DIV/0!</v>
      </c>
      <c r="U44" s="51" t="str">
        <f t="shared" si="95"/>
        <v>#DIV/0!</v>
      </c>
      <c r="V44" s="52" t="str">
        <f t="shared" si="96"/>
        <v>#DIV/0!</v>
      </c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</row>
    <row r="45">
      <c r="A45" s="68"/>
      <c r="B45" s="68"/>
      <c r="C45" s="68"/>
      <c r="D45" s="68"/>
      <c r="E45" s="68"/>
      <c r="F45" s="14" t="s">
        <v>24</v>
      </c>
      <c r="G45" s="101"/>
      <c r="H45" s="102"/>
      <c r="I45" s="35"/>
      <c r="J45" s="32"/>
      <c r="K45" s="68"/>
      <c r="L45" s="14" t="s">
        <v>24</v>
      </c>
      <c r="M45" s="101"/>
      <c r="N45" s="102"/>
      <c r="O45" s="35"/>
      <c r="P45" s="32"/>
      <c r="Q45" s="68"/>
      <c r="R45" s="110" t="s">
        <v>37</v>
      </c>
      <c r="S45" s="55" t="str">
        <f t="shared" ref="S45:T45" si="99">(S35)/S39</f>
        <v>#DIV/0!</v>
      </c>
      <c r="T45" s="55" t="str">
        <f t="shared" si="99"/>
        <v>#DIV/0!</v>
      </c>
      <c r="U45" s="111" t="str">
        <f t="shared" si="95"/>
        <v>#DIV/0!</v>
      </c>
      <c r="V45" s="77" t="str">
        <f t="shared" si="96"/>
        <v>#DIV/0!</v>
      </c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</row>
    <row r="46">
      <c r="A46" s="68"/>
      <c r="B46" s="68"/>
      <c r="C46" s="68"/>
      <c r="D46" s="68"/>
      <c r="E46" s="68"/>
      <c r="F46" s="14" t="s">
        <v>25</v>
      </c>
      <c r="G46" s="103"/>
      <c r="H46" s="35"/>
      <c r="I46" s="35"/>
      <c r="J46" s="32"/>
      <c r="K46" s="68"/>
      <c r="L46" s="14" t="s">
        <v>25</v>
      </c>
      <c r="M46" s="103"/>
      <c r="N46" s="35"/>
      <c r="O46" s="35"/>
      <c r="P46" s="32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</row>
    <row r="47">
      <c r="A47" s="68"/>
      <c r="B47" s="68"/>
      <c r="C47" s="68"/>
      <c r="D47" s="68"/>
      <c r="E47" s="68"/>
      <c r="F47" s="14" t="s">
        <v>26</v>
      </c>
      <c r="G47" s="103"/>
      <c r="H47" s="35"/>
      <c r="I47" s="35"/>
      <c r="J47" s="32"/>
      <c r="K47" s="68"/>
      <c r="L47" s="14" t="s">
        <v>26</v>
      </c>
      <c r="M47" s="103"/>
      <c r="N47" s="35"/>
      <c r="O47" s="35"/>
      <c r="P47" s="32"/>
      <c r="Q47" s="68"/>
      <c r="R47" s="60" t="s">
        <v>40</v>
      </c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</row>
    <row r="48">
      <c r="A48" s="68"/>
      <c r="B48" s="68"/>
      <c r="C48" s="68"/>
      <c r="D48" s="68"/>
      <c r="E48" s="68"/>
      <c r="F48" s="14" t="s">
        <v>28</v>
      </c>
      <c r="G48" s="103"/>
      <c r="H48" s="35"/>
      <c r="I48" s="35"/>
      <c r="J48" s="32"/>
      <c r="K48" s="68"/>
      <c r="L48" s="14" t="s">
        <v>28</v>
      </c>
      <c r="M48" s="103"/>
      <c r="N48" s="35"/>
      <c r="O48" s="35"/>
      <c r="P48" s="32"/>
      <c r="Q48" s="68"/>
      <c r="R48" s="60" t="s">
        <v>45</v>
      </c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</row>
    <row r="49">
      <c r="A49" s="68"/>
      <c r="B49" s="68"/>
      <c r="C49" s="68"/>
      <c r="D49" s="68"/>
      <c r="E49" s="68"/>
      <c r="F49" s="14" t="s">
        <v>29</v>
      </c>
      <c r="G49" s="103"/>
      <c r="H49" s="35"/>
      <c r="I49" s="35"/>
      <c r="J49" s="32"/>
      <c r="K49" s="68"/>
      <c r="L49" s="14" t="s">
        <v>29</v>
      </c>
      <c r="M49" s="103"/>
      <c r="N49" s="35"/>
      <c r="O49" s="35"/>
      <c r="P49" s="32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</row>
    <row r="50">
      <c r="A50" s="68"/>
      <c r="B50" s="68"/>
      <c r="C50" s="68"/>
      <c r="D50" s="68"/>
      <c r="E50" s="68"/>
      <c r="F50" s="14" t="s">
        <v>31</v>
      </c>
      <c r="G50" s="103"/>
      <c r="H50" s="35"/>
      <c r="I50" s="35"/>
      <c r="J50" s="32"/>
      <c r="K50" s="68"/>
      <c r="L50" s="14" t="s">
        <v>31</v>
      </c>
      <c r="M50" s="103"/>
      <c r="N50" s="35"/>
      <c r="O50" s="35"/>
      <c r="P50" s="32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</row>
    <row r="51">
      <c r="A51" s="68"/>
      <c r="B51" s="68"/>
      <c r="C51" s="68"/>
      <c r="D51" s="68"/>
      <c r="E51" s="68"/>
      <c r="F51" s="14" t="s">
        <v>30</v>
      </c>
      <c r="G51" s="103"/>
      <c r="H51" s="35"/>
      <c r="I51" s="35"/>
      <c r="J51" s="32"/>
      <c r="K51" s="68"/>
      <c r="L51" s="14" t="s">
        <v>30</v>
      </c>
      <c r="M51" s="103"/>
      <c r="N51" s="35"/>
      <c r="O51" s="35"/>
      <c r="P51" s="32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</row>
    <row r="52">
      <c r="A52" s="68"/>
      <c r="B52" s="68"/>
      <c r="C52" s="68"/>
      <c r="D52" s="68"/>
      <c r="E52" s="68"/>
      <c r="F52" s="109" t="s">
        <v>34</v>
      </c>
      <c r="G52" s="46" t="str">
        <f t="shared" ref="G52:H52" si="100">G50/G47</f>
        <v>#DIV/0!</v>
      </c>
      <c r="H52" s="47" t="str">
        <f t="shared" si="100"/>
        <v>#DIV/0!</v>
      </c>
      <c r="I52" s="51" t="str">
        <f t="shared" ref="I52:I59" si="103">(H52-G52)/G52</f>
        <v>#DIV/0!</v>
      </c>
      <c r="J52" s="52" t="str">
        <f t="shared" ref="J52:J59" si="104">(I52-#REF!)</f>
        <v>#DIV/0!</v>
      </c>
      <c r="K52" s="68"/>
      <c r="L52" s="109" t="s">
        <v>34</v>
      </c>
      <c r="M52" s="46" t="str">
        <f t="shared" ref="M52:N52" si="101">M50/M47</f>
        <v>#DIV/0!</v>
      </c>
      <c r="N52" s="47" t="str">
        <f t="shared" si="101"/>
        <v>#DIV/0!</v>
      </c>
      <c r="O52" s="51" t="str">
        <f t="shared" ref="O52:O59" si="106">(N52-M52)/M52</f>
        <v>#DIV/0!</v>
      </c>
      <c r="P52" s="52" t="str">
        <f t="shared" ref="P52:P59" si="107">(O52-#REF!)</f>
        <v>#DIV/0!</v>
      </c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</row>
    <row r="53">
      <c r="A53" s="68"/>
      <c r="B53" s="68"/>
      <c r="C53" s="68"/>
      <c r="D53" s="68"/>
      <c r="E53" s="68"/>
      <c r="F53" s="109" t="s">
        <v>32</v>
      </c>
      <c r="G53" s="46" t="str">
        <f t="shared" ref="G53:H53" si="102">G51/G47</f>
        <v>#DIV/0!</v>
      </c>
      <c r="H53" s="47" t="str">
        <f t="shared" si="102"/>
        <v>#DIV/0!</v>
      </c>
      <c r="I53" s="51" t="str">
        <f t="shared" si="103"/>
        <v>#DIV/0!</v>
      </c>
      <c r="J53" s="52" t="str">
        <f t="shared" si="104"/>
        <v>#DIV/0!</v>
      </c>
      <c r="K53" s="68"/>
      <c r="L53" s="109" t="s">
        <v>32</v>
      </c>
      <c r="M53" s="46" t="str">
        <f t="shared" ref="M53:N53" si="105">M51/M47</f>
        <v>#DIV/0!</v>
      </c>
      <c r="N53" s="47" t="str">
        <f t="shared" si="105"/>
        <v>#DIV/0!</v>
      </c>
      <c r="O53" s="51" t="str">
        <f t="shared" si="106"/>
        <v>#DIV/0!</v>
      </c>
      <c r="P53" s="52" t="str">
        <f t="shared" si="107"/>
        <v>#DIV/0!</v>
      </c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</row>
    <row r="54">
      <c r="A54" s="68"/>
      <c r="B54" s="68"/>
      <c r="C54" s="68"/>
      <c r="D54" s="68"/>
      <c r="E54" s="68"/>
      <c r="F54" s="109" t="s">
        <v>33</v>
      </c>
      <c r="G54" s="33" t="str">
        <f t="shared" ref="G54:H54" si="108">G46/G47</f>
        <v>#DIV/0!</v>
      </c>
      <c r="H54" s="50" t="str">
        <f t="shared" si="108"/>
        <v>#DIV/0!</v>
      </c>
      <c r="I54" s="51" t="str">
        <f t="shared" si="103"/>
        <v>#DIV/0!</v>
      </c>
      <c r="J54" s="52" t="str">
        <f t="shared" si="104"/>
        <v>#DIV/0!</v>
      </c>
      <c r="K54" s="68"/>
      <c r="L54" s="109" t="s">
        <v>33</v>
      </c>
      <c r="M54" s="33" t="str">
        <f t="shared" ref="M54:N54" si="109">M46/M47</f>
        <v>#DIV/0!</v>
      </c>
      <c r="N54" s="50" t="str">
        <f t="shared" si="109"/>
        <v>#DIV/0!</v>
      </c>
      <c r="O54" s="51" t="str">
        <f t="shared" si="106"/>
        <v>#DIV/0!</v>
      </c>
      <c r="P54" s="52" t="str">
        <f t="shared" si="107"/>
        <v>#DIV/0!</v>
      </c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</row>
    <row r="55">
      <c r="A55" s="68"/>
      <c r="B55" s="68"/>
      <c r="C55" s="68"/>
      <c r="D55" s="68"/>
      <c r="E55" s="68"/>
      <c r="F55" s="109" t="s">
        <v>38</v>
      </c>
      <c r="G55" s="33" t="str">
        <f t="shared" ref="G55:H55" si="110">G44/G47</f>
        <v>#DIV/0!</v>
      </c>
      <c r="H55" s="50" t="str">
        <f t="shared" si="110"/>
        <v>#DIV/0!</v>
      </c>
      <c r="I55" s="51" t="str">
        <f t="shared" si="103"/>
        <v>#DIV/0!</v>
      </c>
      <c r="J55" s="52" t="str">
        <f t="shared" si="104"/>
        <v>#DIV/0!</v>
      </c>
      <c r="K55" s="68"/>
      <c r="L55" s="109" t="s">
        <v>38</v>
      </c>
      <c r="M55" s="33" t="str">
        <f t="shared" ref="M55:N55" si="111">M44/M47</f>
        <v>#DIV/0!</v>
      </c>
      <c r="N55" s="50" t="str">
        <f t="shared" si="111"/>
        <v>#DIV/0!</v>
      </c>
      <c r="O55" s="51" t="str">
        <f t="shared" si="106"/>
        <v>#DIV/0!</v>
      </c>
      <c r="P55" s="52" t="str">
        <f t="shared" si="107"/>
        <v>#DIV/0!</v>
      </c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</row>
    <row r="56">
      <c r="A56" s="68"/>
      <c r="B56" s="68"/>
      <c r="C56" s="68"/>
      <c r="D56" s="68"/>
      <c r="E56" s="68"/>
      <c r="F56" s="109" t="s">
        <v>39</v>
      </c>
      <c r="G56" s="33" t="str">
        <f t="shared" ref="G56:H56" si="112">SUM(G45:G46)/G47</f>
        <v>#DIV/0!</v>
      </c>
      <c r="H56" s="50" t="str">
        <f t="shared" si="112"/>
        <v>#DIV/0!</v>
      </c>
      <c r="I56" s="51" t="str">
        <f t="shared" si="103"/>
        <v>#DIV/0!</v>
      </c>
      <c r="J56" s="52" t="str">
        <f t="shared" si="104"/>
        <v>#DIV/0!</v>
      </c>
      <c r="K56" s="68"/>
      <c r="L56" s="109" t="s">
        <v>39</v>
      </c>
      <c r="M56" s="33" t="str">
        <f t="shared" ref="M56:N56" si="113">SUM(M45:M46)/M47</f>
        <v>#DIV/0!</v>
      </c>
      <c r="N56" s="50" t="str">
        <f t="shared" si="113"/>
        <v>#DIV/0!</v>
      </c>
      <c r="O56" s="51" t="str">
        <f t="shared" si="106"/>
        <v>#DIV/0!</v>
      </c>
      <c r="P56" s="52" t="str">
        <f t="shared" si="107"/>
        <v>#DIV/0!</v>
      </c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</row>
    <row r="57">
      <c r="A57" s="68"/>
      <c r="B57" s="68"/>
      <c r="C57" s="68"/>
      <c r="D57" s="68"/>
      <c r="E57" s="68"/>
      <c r="F57" s="109" t="s">
        <v>43</v>
      </c>
      <c r="G57" s="33" t="str">
        <f t="shared" ref="G57:H57" si="114">SUM(G44:G45)/G47</f>
        <v>#DIV/0!</v>
      </c>
      <c r="H57" s="50" t="str">
        <f t="shared" si="114"/>
        <v>#DIV/0!</v>
      </c>
      <c r="I57" s="51" t="str">
        <f t="shared" si="103"/>
        <v>#DIV/0!</v>
      </c>
      <c r="J57" s="52" t="str">
        <f t="shared" si="104"/>
        <v>#DIV/0!</v>
      </c>
      <c r="K57" s="68"/>
      <c r="L57" s="109" t="s">
        <v>43</v>
      </c>
      <c r="M57" s="33" t="str">
        <f t="shared" ref="M57:N57" si="115">SUM(M44:M45)/M47</f>
        <v>#DIV/0!</v>
      </c>
      <c r="N57" s="50" t="str">
        <f t="shared" si="115"/>
        <v>#DIV/0!</v>
      </c>
      <c r="O57" s="51" t="str">
        <f t="shared" si="106"/>
        <v>#DIV/0!</v>
      </c>
      <c r="P57" s="52" t="str">
        <f t="shared" si="107"/>
        <v>#DIV/0!</v>
      </c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</row>
    <row r="58">
      <c r="A58" s="68"/>
      <c r="B58" s="68"/>
      <c r="C58" s="68"/>
      <c r="D58" s="68"/>
      <c r="E58" s="68"/>
      <c r="F58" s="109" t="s">
        <v>44</v>
      </c>
      <c r="G58" s="33" t="str">
        <f t="shared" ref="G58:H58" si="116">SUM(G44:G45)/G48</f>
        <v>#DIV/0!</v>
      </c>
      <c r="H58" s="50" t="str">
        <f t="shared" si="116"/>
        <v>#DIV/0!</v>
      </c>
      <c r="I58" s="51" t="str">
        <f t="shared" si="103"/>
        <v>#DIV/0!</v>
      </c>
      <c r="J58" s="52" t="str">
        <f t="shared" si="104"/>
        <v>#DIV/0!</v>
      </c>
      <c r="K58" s="68"/>
      <c r="L58" s="109" t="s">
        <v>44</v>
      </c>
      <c r="M58" s="33" t="str">
        <f t="shared" ref="M58:N58" si="117">SUM(M44:M45)/M48</f>
        <v>#DIV/0!</v>
      </c>
      <c r="N58" s="50" t="str">
        <f t="shared" si="117"/>
        <v>#DIV/0!</v>
      </c>
      <c r="O58" s="51" t="str">
        <f t="shared" si="106"/>
        <v>#DIV/0!</v>
      </c>
      <c r="P58" s="52" t="str">
        <f t="shared" si="107"/>
        <v>#DIV/0!</v>
      </c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</row>
    <row r="59">
      <c r="A59" s="68"/>
      <c r="B59" s="68"/>
      <c r="C59" s="68"/>
      <c r="D59" s="68"/>
      <c r="E59" s="68"/>
      <c r="F59" s="109" t="s">
        <v>48</v>
      </c>
      <c r="G59" s="64" t="str">
        <f t="shared" ref="G59:H59" si="118">(G44+G45)/G49</f>
        <v>#DIV/0!</v>
      </c>
      <c r="H59" s="65" t="str">
        <f t="shared" si="118"/>
        <v>#DIV/0!</v>
      </c>
      <c r="I59" s="82" t="str">
        <f t="shared" si="103"/>
        <v>#DIV/0!</v>
      </c>
      <c r="J59" s="83" t="str">
        <f t="shared" si="104"/>
        <v>#DIV/0!</v>
      </c>
      <c r="K59" s="68"/>
      <c r="L59" s="109" t="s">
        <v>48</v>
      </c>
      <c r="M59" s="64" t="str">
        <f t="shared" ref="M59:N59" si="119">(M44+M45)/M49</f>
        <v>#DIV/0!</v>
      </c>
      <c r="N59" s="65" t="str">
        <f t="shared" si="119"/>
        <v>#DIV/0!</v>
      </c>
      <c r="O59" s="82" t="str">
        <f t="shared" si="106"/>
        <v>#DIV/0!</v>
      </c>
      <c r="P59" s="83" t="str">
        <f t="shared" si="107"/>
        <v>#DIV/0!</v>
      </c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</row>
    <row r="60">
      <c r="A60" s="68"/>
      <c r="B60" s="68"/>
      <c r="C60" s="68"/>
      <c r="D60" s="68"/>
      <c r="E60" s="68"/>
      <c r="F60" s="14"/>
      <c r="G60" s="68"/>
      <c r="H60" s="68"/>
      <c r="I60" s="68"/>
      <c r="J60" s="32"/>
      <c r="K60" s="68"/>
      <c r="L60" s="14"/>
      <c r="M60" s="68"/>
      <c r="N60" s="68"/>
      <c r="O60" s="68"/>
      <c r="P60" s="32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</row>
    <row r="61">
      <c r="A61" s="68"/>
      <c r="B61" s="68"/>
      <c r="C61" s="68"/>
      <c r="D61" s="68"/>
      <c r="E61" s="68"/>
      <c r="F61" s="14"/>
      <c r="G61" s="70">
        <v>2023.0</v>
      </c>
      <c r="H61" s="70">
        <v>2024.0</v>
      </c>
      <c r="I61" s="68"/>
      <c r="J61" s="32"/>
      <c r="K61" s="68"/>
      <c r="L61" s="14"/>
      <c r="M61" s="70">
        <v>2023.0</v>
      </c>
      <c r="N61" s="70">
        <v>2024.0</v>
      </c>
      <c r="O61" s="68"/>
      <c r="P61" s="32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</row>
    <row r="62">
      <c r="A62" s="68"/>
      <c r="B62" s="68"/>
      <c r="C62" s="68"/>
      <c r="D62" s="68"/>
      <c r="E62" s="68"/>
      <c r="F62" s="14"/>
      <c r="G62" s="79" t="s">
        <v>60</v>
      </c>
      <c r="H62" s="84" t="s">
        <v>61</v>
      </c>
      <c r="I62" s="71" t="s">
        <v>53</v>
      </c>
      <c r="J62" s="32"/>
      <c r="K62" s="68"/>
      <c r="L62" s="14"/>
      <c r="M62" s="79" t="s">
        <v>60</v>
      </c>
      <c r="N62" s="84" t="s">
        <v>61</v>
      </c>
      <c r="O62" s="71" t="s">
        <v>53</v>
      </c>
      <c r="P62" s="32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</row>
    <row r="63">
      <c r="A63" s="68"/>
      <c r="B63" s="68"/>
      <c r="C63" s="68"/>
      <c r="D63" s="68"/>
      <c r="E63" s="68"/>
      <c r="F63" s="14" t="s">
        <v>23</v>
      </c>
      <c r="G63" s="99"/>
      <c r="H63" s="114"/>
      <c r="I63" s="86"/>
      <c r="J63" s="32"/>
      <c r="K63" s="68"/>
      <c r="L63" s="14" t="s">
        <v>23</v>
      </c>
      <c r="M63" s="99"/>
      <c r="N63" s="114"/>
      <c r="O63" s="86"/>
      <c r="P63" s="32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</row>
    <row r="64">
      <c r="A64" s="68"/>
      <c r="B64" s="68"/>
      <c r="C64" s="68"/>
      <c r="D64" s="68"/>
      <c r="E64" s="68"/>
      <c r="F64" s="14" t="s">
        <v>24</v>
      </c>
      <c r="G64" s="101"/>
      <c r="H64" s="112"/>
      <c r="I64" s="87"/>
      <c r="J64" s="32"/>
      <c r="K64" s="68"/>
      <c r="L64" s="14" t="s">
        <v>24</v>
      </c>
      <c r="M64" s="101"/>
      <c r="N64" s="112"/>
      <c r="O64" s="87"/>
      <c r="P64" s="32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</row>
    <row r="65">
      <c r="A65" s="68"/>
      <c r="B65" s="68"/>
      <c r="C65" s="68"/>
      <c r="D65" s="68"/>
      <c r="E65" s="68"/>
      <c r="F65" s="14" t="s">
        <v>25</v>
      </c>
      <c r="G65" s="101"/>
      <c r="H65" s="112"/>
      <c r="I65" s="87"/>
      <c r="J65" s="32"/>
      <c r="K65" s="68"/>
      <c r="L65" s="14" t="s">
        <v>25</v>
      </c>
      <c r="M65" s="101"/>
      <c r="N65" s="112"/>
      <c r="O65" s="87"/>
      <c r="P65" s="32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</row>
    <row r="66">
      <c r="A66" s="68"/>
      <c r="B66" s="68"/>
      <c r="C66" s="68"/>
      <c r="D66" s="68"/>
      <c r="E66" s="68"/>
      <c r="F66" s="14" t="s">
        <v>26</v>
      </c>
      <c r="G66" s="101"/>
      <c r="H66" s="112"/>
      <c r="I66" s="87"/>
      <c r="J66" s="32"/>
      <c r="K66" s="68"/>
      <c r="L66" s="14" t="s">
        <v>26</v>
      </c>
      <c r="M66" s="101"/>
      <c r="N66" s="112"/>
      <c r="O66" s="87"/>
      <c r="P66" s="32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</row>
    <row r="67">
      <c r="A67" s="68"/>
      <c r="B67" s="68"/>
      <c r="C67" s="68"/>
      <c r="D67" s="68"/>
      <c r="E67" s="68"/>
      <c r="F67" s="14" t="s">
        <v>28</v>
      </c>
      <c r="G67" s="101"/>
      <c r="H67" s="112"/>
      <c r="I67" s="87"/>
      <c r="J67" s="32"/>
      <c r="K67" s="68"/>
      <c r="L67" s="14" t="s">
        <v>28</v>
      </c>
      <c r="M67" s="101"/>
      <c r="N67" s="112"/>
      <c r="O67" s="87"/>
      <c r="P67" s="32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</row>
    <row r="68">
      <c r="A68" s="68"/>
      <c r="B68" s="68"/>
      <c r="C68" s="68"/>
      <c r="D68" s="68"/>
      <c r="E68" s="68"/>
      <c r="F68" s="14" t="s">
        <v>29</v>
      </c>
      <c r="G68" s="101"/>
      <c r="H68" s="112"/>
      <c r="I68" s="87"/>
      <c r="J68" s="32"/>
      <c r="K68" s="68"/>
      <c r="L68" s="14" t="s">
        <v>29</v>
      </c>
      <c r="M68" s="101"/>
      <c r="N68" s="112"/>
      <c r="O68" s="87"/>
      <c r="P68" s="32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</row>
    <row r="69">
      <c r="A69" s="68"/>
      <c r="B69" s="68"/>
      <c r="C69" s="68"/>
      <c r="D69" s="68"/>
      <c r="E69" s="68"/>
      <c r="F69" s="14" t="s">
        <v>31</v>
      </c>
      <c r="G69" s="101"/>
      <c r="H69" s="112"/>
      <c r="I69" s="87"/>
      <c r="J69" s="32"/>
      <c r="K69" s="68"/>
      <c r="L69" s="14" t="s">
        <v>31</v>
      </c>
      <c r="M69" s="101"/>
      <c r="N69" s="112"/>
      <c r="O69" s="87"/>
      <c r="P69" s="32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</row>
    <row r="70">
      <c r="A70" s="68"/>
      <c r="B70" s="68"/>
      <c r="C70" s="68"/>
      <c r="D70" s="68"/>
      <c r="E70" s="68"/>
      <c r="F70" s="14" t="s">
        <v>30</v>
      </c>
      <c r="G70" s="101"/>
      <c r="H70" s="112"/>
      <c r="I70" s="87"/>
      <c r="J70" s="32"/>
      <c r="K70" s="68"/>
      <c r="L70" s="14" t="s">
        <v>30</v>
      </c>
      <c r="M70" s="101"/>
      <c r="N70" s="112"/>
      <c r="O70" s="87"/>
      <c r="P70" s="32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</row>
    <row r="71">
      <c r="A71" s="68"/>
      <c r="B71" s="68"/>
      <c r="C71" s="68"/>
      <c r="D71" s="68"/>
      <c r="E71" s="68"/>
      <c r="F71" s="109" t="s">
        <v>34</v>
      </c>
      <c r="G71" s="46" t="str">
        <f t="shared" ref="G71:H71" si="120">G69/G66</f>
        <v>#DIV/0!</v>
      </c>
      <c r="H71" s="67" t="str">
        <f t="shared" si="120"/>
        <v>#DIV/0!</v>
      </c>
      <c r="I71" s="67" t="str">
        <f t="shared" ref="I71:I78" si="123">(H71-G71)/G71</f>
        <v>#DIV/0!</v>
      </c>
      <c r="J71" s="52"/>
      <c r="K71" s="68"/>
      <c r="L71" s="109" t="s">
        <v>34</v>
      </c>
      <c r="M71" s="46" t="str">
        <f t="shared" ref="M71:N71" si="121">M69/M66</f>
        <v>#DIV/0!</v>
      </c>
      <c r="N71" s="67" t="str">
        <f t="shared" si="121"/>
        <v>#DIV/0!</v>
      </c>
      <c r="O71" s="67" t="str">
        <f t="shared" ref="O71:O78" si="125">(N71-M71)/M71</f>
        <v>#DIV/0!</v>
      </c>
      <c r="P71" s="52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</row>
    <row r="72">
      <c r="A72" s="68"/>
      <c r="B72" s="68"/>
      <c r="C72" s="68"/>
      <c r="D72" s="68"/>
      <c r="E72" s="68"/>
      <c r="F72" s="109" t="s">
        <v>32</v>
      </c>
      <c r="G72" s="46" t="str">
        <f t="shared" ref="G72:H72" si="122">G70/G66</f>
        <v>#DIV/0!</v>
      </c>
      <c r="H72" s="67" t="str">
        <f t="shared" si="122"/>
        <v>#DIV/0!</v>
      </c>
      <c r="I72" s="67" t="str">
        <f t="shared" si="123"/>
        <v>#DIV/0!</v>
      </c>
      <c r="J72" s="52"/>
      <c r="K72" s="68"/>
      <c r="L72" s="109" t="s">
        <v>32</v>
      </c>
      <c r="M72" s="46" t="str">
        <f t="shared" ref="M72:N72" si="124">M70/M66</f>
        <v>#DIV/0!</v>
      </c>
      <c r="N72" s="67" t="str">
        <f t="shared" si="124"/>
        <v>#DIV/0!</v>
      </c>
      <c r="O72" s="67" t="str">
        <f t="shared" si="125"/>
        <v>#DIV/0!</v>
      </c>
      <c r="P72" s="52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</row>
    <row r="73">
      <c r="A73" s="68"/>
      <c r="B73" s="68"/>
      <c r="C73" s="68"/>
      <c r="D73" s="68"/>
      <c r="E73" s="68"/>
      <c r="F73" s="109" t="s">
        <v>33</v>
      </c>
      <c r="G73" s="33" t="str">
        <f t="shared" ref="G73:H73" si="126">G65/G66</f>
        <v>#DIV/0!</v>
      </c>
      <c r="H73" s="34" t="str">
        <f t="shared" si="126"/>
        <v>#DIV/0!</v>
      </c>
      <c r="I73" s="67" t="str">
        <f t="shared" si="123"/>
        <v>#DIV/0!</v>
      </c>
      <c r="J73" s="52"/>
      <c r="K73" s="68"/>
      <c r="L73" s="109" t="s">
        <v>33</v>
      </c>
      <c r="M73" s="33" t="str">
        <f t="shared" ref="M73:N73" si="127">M65/M66</f>
        <v>#DIV/0!</v>
      </c>
      <c r="N73" s="34" t="str">
        <f t="shared" si="127"/>
        <v>#DIV/0!</v>
      </c>
      <c r="O73" s="67" t="str">
        <f t="shared" si="125"/>
        <v>#DIV/0!</v>
      </c>
      <c r="P73" s="52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</row>
    <row r="74">
      <c r="A74" s="68"/>
      <c r="B74" s="68"/>
      <c r="C74" s="68"/>
      <c r="D74" s="68"/>
      <c r="E74" s="68"/>
      <c r="F74" s="109" t="s">
        <v>38</v>
      </c>
      <c r="G74" s="33" t="str">
        <f t="shared" ref="G74:H74" si="128">G63/G66</f>
        <v>#DIV/0!</v>
      </c>
      <c r="H74" s="34" t="str">
        <f t="shared" si="128"/>
        <v>#DIV/0!</v>
      </c>
      <c r="I74" s="67" t="str">
        <f t="shared" si="123"/>
        <v>#DIV/0!</v>
      </c>
      <c r="J74" s="52"/>
      <c r="K74" s="68"/>
      <c r="L74" s="109" t="s">
        <v>38</v>
      </c>
      <c r="M74" s="33" t="str">
        <f t="shared" ref="M74:N74" si="129">M63/M66</f>
        <v>#DIV/0!</v>
      </c>
      <c r="N74" s="34" t="str">
        <f t="shared" si="129"/>
        <v>#DIV/0!</v>
      </c>
      <c r="O74" s="67" t="str">
        <f t="shared" si="125"/>
        <v>#DIV/0!</v>
      </c>
      <c r="P74" s="52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</row>
    <row r="75">
      <c r="A75" s="68"/>
      <c r="B75" s="68"/>
      <c r="C75" s="68"/>
      <c r="D75" s="68"/>
      <c r="E75" s="68"/>
      <c r="F75" s="109" t="s">
        <v>39</v>
      </c>
      <c r="G75" s="33" t="str">
        <f t="shared" ref="G75:H75" si="130">SUM(G64:G65)/G66</f>
        <v>#DIV/0!</v>
      </c>
      <c r="H75" s="34" t="str">
        <f t="shared" si="130"/>
        <v>#DIV/0!</v>
      </c>
      <c r="I75" s="67" t="str">
        <f t="shared" si="123"/>
        <v>#DIV/0!</v>
      </c>
      <c r="J75" s="52"/>
      <c r="K75" s="68"/>
      <c r="L75" s="109" t="s">
        <v>39</v>
      </c>
      <c r="M75" s="33" t="str">
        <f t="shared" ref="M75:N75" si="131">SUM(M64:M65)/M66</f>
        <v>#DIV/0!</v>
      </c>
      <c r="N75" s="34" t="str">
        <f t="shared" si="131"/>
        <v>#DIV/0!</v>
      </c>
      <c r="O75" s="67" t="str">
        <f t="shared" si="125"/>
        <v>#DIV/0!</v>
      </c>
      <c r="P75" s="52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</row>
    <row r="76">
      <c r="A76" s="68"/>
      <c r="B76" s="68"/>
      <c r="C76" s="68"/>
      <c r="D76" s="68"/>
      <c r="E76" s="68"/>
      <c r="F76" s="109" t="s">
        <v>43</v>
      </c>
      <c r="G76" s="33" t="str">
        <f t="shared" ref="G76:H76" si="132">SUM(G63:G64)/G66</f>
        <v>#DIV/0!</v>
      </c>
      <c r="H76" s="34" t="str">
        <f t="shared" si="132"/>
        <v>#DIV/0!</v>
      </c>
      <c r="I76" s="67" t="str">
        <f t="shared" si="123"/>
        <v>#DIV/0!</v>
      </c>
      <c r="J76" s="52"/>
      <c r="K76" s="68"/>
      <c r="L76" s="109" t="s">
        <v>43</v>
      </c>
      <c r="M76" s="33" t="str">
        <f t="shared" ref="M76:N76" si="133">SUM(M63:M64)/M66</f>
        <v>#DIV/0!</v>
      </c>
      <c r="N76" s="34" t="str">
        <f t="shared" si="133"/>
        <v>#DIV/0!</v>
      </c>
      <c r="O76" s="67" t="str">
        <f t="shared" si="125"/>
        <v>#DIV/0!</v>
      </c>
      <c r="P76" s="52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</row>
    <row r="77">
      <c r="A77" s="68"/>
      <c r="B77" s="68"/>
      <c r="C77" s="68"/>
      <c r="D77" s="68"/>
      <c r="E77" s="68"/>
      <c r="F77" s="109" t="s">
        <v>44</v>
      </c>
      <c r="G77" s="33" t="str">
        <f t="shared" ref="G77:H77" si="134">SUM(G63:G64)/G67</f>
        <v>#DIV/0!</v>
      </c>
      <c r="H77" s="34" t="str">
        <f t="shared" si="134"/>
        <v>#DIV/0!</v>
      </c>
      <c r="I77" s="67" t="str">
        <f t="shared" si="123"/>
        <v>#DIV/0!</v>
      </c>
      <c r="J77" s="52"/>
      <c r="K77" s="68"/>
      <c r="L77" s="109" t="s">
        <v>44</v>
      </c>
      <c r="M77" s="33" t="str">
        <f t="shared" ref="M77:N77" si="135">SUM(M63:M64)/M67</f>
        <v>#DIV/0!</v>
      </c>
      <c r="N77" s="34" t="str">
        <f t="shared" si="135"/>
        <v>#DIV/0!</v>
      </c>
      <c r="O77" s="67" t="str">
        <f t="shared" si="125"/>
        <v>#DIV/0!</v>
      </c>
      <c r="P77" s="52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</row>
    <row r="78">
      <c r="A78" s="68"/>
      <c r="B78" s="68"/>
      <c r="C78" s="68"/>
      <c r="D78" s="68"/>
      <c r="E78" s="68"/>
      <c r="F78" s="110" t="s">
        <v>48</v>
      </c>
      <c r="G78" s="55" t="str">
        <f t="shared" ref="G78:H78" si="136">(G63+G64)/G68</f>
        <v>#DIV/0!</v>
      </c>
      <c r="H78" s="76" t="str">
        <f t="shared" si="136"/>
        <v>#DIV/0!</v>
      </c>
      <c r="I78" s="89" t="str">
        <f t="shared" si="123"/>
        <v>#DIV/0!</v>
      </c>
      <c r="J78" s="77"/>
      <c r="K78" s="68"/>
      <c r="L78" s="110" t="s">
        <v>48</v>
      </c>
      <c r="M78" s="55" t="str">
        <f t="shared" ref="M78:N78" si="137">(M63+M64)/M68</f>
        <v>#DIV/0!</v>
      </c>
      <c r="N78" s="76" t="str">
        <f t="shared" si="137"/>
        <v>#DIV/0!</v>
      </c>
      <c r="O78" s="89" t="str">
        <f t="shared" si="125"/>
        <v>#DIV/0!</v>
      </c>
      <c r="P78" s="77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</row>
    <row r="80">
      <c r="A80" s="68"/>
      <c r="B80" s="68"/>
      <c r="C80" s="68"/>
      <c r="D80" s="68"/>
      <c r="E80" s="68"/>
      <c r="F80" s="7" t="s">
        <v>85</v>
      </c>
      <c r="G80" s="8" t="s">
        <v>13</v>
      </c>
      <c r="H80" s="8" t="s">
        <v>14</v>
      </c>
      <c r="I80" s="5"/>
      <c r="J80" s="9"/>
      <c r="K80" s="68"/>
      <c r="L80" s="7" t="s">
        <v>86</v>
      </c>
      <c r="M80" s="8" t="s">
        <v>13</v>
      </c>
      <c r="N80" s="8" t="s">
        <v>14</v>
      </c>
      <c r="O80" s="5"/>
      <c r="P80" s="9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</row>
    <row r="81">
      <c r="A81" s="68"/>
      <c r="B81" s="68"/>
      <c r="C81" s="68"/>
      <c r="D81" s="68"/>
      <c r="E81" s="68"/>
      <c r="F81" s="14"/>
      <c r="G81" s="79" t="s">
        <v>58</v>
      </c>
      <c r="H81" s="79" t="s">
        <v>59</v>
      </c>
      <c r="I81" s="16" t="s">
        <v>20</v>
      </c>
      <c r="J81" s="17" t="s">
        <v>21</v>
      </c>
      <c r="K81" s="68"/>
      <c r="L81" s="14"/>
      <c r="M81" s="79" t="s">
        <v>58</v>
      </c>
      <c r="N81" s="79" t="s">
        <v>59</v>
      </c>
      <c r="O81" s="16" t="s">
        <v>20</v>
      </c>
      <c r="P81" s="17" t="s">
        <v>21</v>
      </c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</row>
    <row r="82">
      <c r="A82" s="68"/>
      <c r="B82" s="68"/>
      <c r="C82" s="68"/>
      <c r="D82" s="68"/>
      <c r="E82" s="68"/>
      <c r="F82" s="14" t="s">
        <v>23</v>
      </c>
      <c r="G82" s="99"/>
      <c r="H82" s="100"/>
      <c r="I82" s="28"/>
      <c r="J82" s="24"/>
      <c r="K82" s="68"/>
      <c r="L82" s="14" t="s">
        <v>23</v>
      </c>
      <c r="M82" s="99"/>
      <c r="N82" s="100"/>
      <c r="O82" s="28"/>
      <c r="P82" s="24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</row>
    <row r="83">
      <c r="A83" s="68"/>
      <c r="B83" s="68"/>
      <c r="C83" s="68"/>
      <c r="D83" s="68"/>
      <c r="E83" s="68"/>
      <c r="F83" s="14" t="s">
        <v>24</v>
      </c>
      <c r="G83" s="101"/>
      <c r="H83" s="102"/>
      <c r="I83" s="35"/>
      <c r="J83" s="32"/>
      <c r="K83" s="68"/>
      <c r="L83" s="14" t="s">
        <v>24</v>
      </c>
      <c r="M83" s="101"/>
      <c r="N83" s="102"/>
      <c r="O83" s="35"/>
      <c r="P83" s="32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</row>
    <row r="84">
      <c r="A84" s="68"/>
      <c r="B84" s="68"/>
      <c r="C84" s="68"/>
      <c r="D84" s="68"/>
      <c r="E84" s="68"/>
      <c r="F84" s="14" t="s">
        <v>25</v>
      </c>
      <c r="G84" s="103"/>
      <c r="H84" s="35"/>
      <c r="I84" s="35"/>
      <c r="J84" s="32"/>
      <c r="K84" s="68"/>
      <c r="L84" s="14" t="s">
        <v>25</v>
      </c>
      <c r="M84" s="103"/>
      <c r="N84" s="35"/>
      <c r="O84" s="35"/>
      <c r="P84" s="32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</row>
    <row r="85">
      <c r="A85" s="68"/>
      <c r="B85" s="68"/>
      <c r="C85" s="68"/>
      <c r="D85" s="68"/>
      <c r="E85" s="68"/>
      <c r="F85" s="14" t="s">
        <v>26</v>
      </c>
      <c r="G85" s="103"/>
      <c r="H85" s="35"/>
      <c r="I85" s="35"/>
      <c r="J85" s="32"/>
      <c r="K85" s="68"/>
      <c r="L85" s="14" t="s">
        <v>26</v>
      </c>
      <c r="M85" s="103"/>
      <c r="N85" s="35"/>
      <c r="O85" s="35"/>
      <c r="P85" s="32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</row>
    <row r="86">
      <c r="A86" s="68"/>
      <c r="B86" s="68"/>
      <c r="C86" s="68"/>
      <c r="D86" s="68"/>
      <c r="E86" s="68"/>
      <c r="F86" s="14" t="s">
        <v>28</v>
      </c>
      <c r="G86" s="103"/>
      <c r="H86" s="35"/>
      <c r="I86" s="35"/>
      <c r="J86" s="32"/>
      <c r="K86" s="68"/>
      <c r="L86" s="14" t="s">
        <v>28</v>
      </c>
      <c r="M86" s="103"/>
      <c r="N86" s="35"/>
      <c r="O86" s="35"/>
      <c r="P86" s="32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</row>
    <row r="87">
      <c r="A87" s="68"/>
      <c r="B87" s="68"/>
      <c r="C87" s="68"/>
      <c r="D87" s="68"/>
      <c r="E87" s="68"/>
      <c r="F87" s="14" t="s">
        <v>29</v>
      </c>
      <c r="G87" s="103"/>
      <c r="H87" s="35"/>
      <c r="I87" s="35"/>
      <c r="J87" s="32"/>
      <c r="K87" s="68"/>
      <c r="L87" s="14" t="s">
        <v>29</v>
      </c>
      <c r="M87" s="103"/>
      <c r="N87" s="35"/>
      <c r="O87" s="35"/>
      <c r="P87" s="32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</row>
    <row r="88">
      <c r="A88" s="68"/>
      <c r="B88" s="68"/>
      <c r="C88" s="68"/>
      <c r="D88" s="68"/>
      <c r="E88" s="68"/>
      <c r="F88" s="14" t="s">
        <v>31</v>
      </c>
      <c r="G88" s="103"/>
      <c r="H88" s="35"/>
      <c r="I88" s="35"/>
      <c r="J88" s="32"/>
      <c r="K88" s="68"/>
      <c r="L88" s="14" t="s">
        <v>31</v>
      </c>
      <c r="M88" s="103"/>
      <c r="N88" s="35"/>
      <c r="O88" s="35"/>
      <c r="P88" s="32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</row>
    <row r="89">
      <c r="A89" s="68"/>
      <c r="B89" s="68"/>
      <c r="C89" s="68"/>
      <c r="D89" s="68"/>
      <c r="E89" s="68"/>
      <c r="F89" s="14" t="s">
        <v>30</v>
      </c>
      <c r="G89" s="103"/>
      <c r="H89" s="35"/>
      <c r="I89" s="35"/>
      <c r="J89" s="32"/>
      <c r="K89" s="68"/>
      <c r="L89" s="14" t="s">
        <v>30</v>
      </c>
      <c r="M89" s="103"/>
      <c r="N89" s="35"/>
      <c r="O89" s="35"/>
      <c r="P89" s="32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</row>
    <row r="90">
      <c r="A90" s="68"/>
      <c r="B90" s="68"/>
      <c r="C90" s="68"/>
      <c r="D90" s="68"/>
      <c r="E90" s="68"/>
      <c r="F90" s="109" t="s">
        <v>34</v>
      </c>
      <c r="G90" s="46" t="str">
        <f t="shared" ref="G90:H90" si="138">G88/G85</f>
        <v>#DIV/0!</v>
      </c>
      <c r="H90" s="47" t="str">
        <f t="shared" si="138"/>
        <v>#DIV/0!</v>
      </c>
      <c r="I90" s="51" t="str">
        <f t="shared" ref="I90:I97" si="141">(H90-G90)/G90</f>
        <v>#DIV/0!</v>
      </c>
      <c r="J90" s="52" t="str">
        <f t="shared" ref="J90:J97" si="142">(I90-#REF!)</f>
        <v>#DIV/0!</v>
      </c>
      <c r="K90" s="68"/>
      <c r="L90" s="109" t="s">
        <v>34</v>
      </c>
      <c r="M90" s="46" t="str">
        <f t="shared" ref="M90:N90" si="139">M88/M85</f>
        <v>#DIV/0!</v>
      </c>
      <c r="N90" s="47" t="str">
        <f t="shared" si="139"/>
        <v>#DIV/0!</v>
      </c>
      <c r="O90" s="51" t="str">
        <f t="shared" ref="O90:O97" si="144">(N90-M90)/M90</f>
        <v>#DIV/0!</v>
      </c>
      <c r="P90" s="52" t="str">
        <f t="shared" ref="P90:P97" si="145">(O90-#REF!)</f>
        <v>#DIV/0!</v>
      </c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</row>
    <row r="91">
      <c r="A91" s="68"/>
      <c r="B91" s="68"/>
      <c r="C91" s="68"/>
      <c r="D91" s="68"/>
      <c r="E91" s="68"/>
      <c r="F91" s="109" t="s">
        <v>32</v>
      </c>
      <c r="G91" s="46" t="str">
        <f t="shared" ref="G91:H91" si="140">G89/G85</f>
        <v>#DIV/0!</v>
      </c>
      <c r="H91" s="47" t="str">
        <f t="shared" si="140"/>
        <v>#DIV/0!</v>
      </c>
      <c r="I91" s="51" t="str">
        <f t="shared" si="141"/>
        <v>#DIV/0!</v>
      </c>
      <c r="J91" s="52" t="str">
        <f t="shared" si="142"/>
        <v>#DIV/0!</v>
      </c>
      <c r="K91" s="68"/>
      <c r="L91" s="109" t="s">
        <v>32</v>
      </c>
      <c r="M91" s="46" t="str">
        <f t="shared" ref="M91:N91" si="143">M89/M85</f>
        <v>#DIV/0!</v>
      </c>
      <c r="N91" s="47" t="str">
        <f t="shared" si="143"/>
        <v>#DIV/0!</v>
      </c>
      <c r="O91" s="51" t="str">
        <f t="shared" si="144"/>
        <v>#DIV/0!</v>
      </c>
      <c r="P91" s="52" t="str">
        <f t="shared" si="145"/>
        <v>#DIV/0!</v>
      </c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</row>
    <row r="92">
      <c r="A92" s="68"/>
      <c r="B92" s="68"/>
      <c r="C92" s="68"/>
      <c r="D92" s="68"/>
      <c r="E92" s="68"/>
      <c r="F92" s="109" t="s">
        <v>33</v>
      </c>
      <c r="G92" s="33" t="str">
        <f t="shared" ref="G92:H92" si="146">G84/G85</f>
        <v>#DIV/0!</v>
      </c>
      <c r="H92" s="50" t="str">
        <f t="shared" si="146"/>
        <v>#DIV/0!</v>
      </c>
      <c r="I92" s="51" t="str">
        <f t="shared" si="141"/>
        <v>#DIV/0!</v>
      </c>
      <c r="J92" s="52" t="str">
        <f t="shared" si="142"/>
        <v>#DIV/0!</v>
      </c>
      <c r="K92" s="68"/>
      <c r="L92" s="109" t="s">
        <v>33</v>
      </c>
      <c r="M92" s="33" t="str">
        <f t="shared" ref="M92:N92" si="147">M84/M85</f>
        <v>#DIV/0!</v>
      </c>
      <c r="N92" s="50" t="str">
        <f t="shared" si="147"/>
        <v>#DIV/0!</v>
      </c>
      <c r="O92" s="51" t="str">
        <f t="shared" si="144"/>
        <v>#DIV/0!</v>
      </c>
      <c r="P92" s="52" t="str">
        <f t="shared" si="145"/>
        <v>#DIV/0!</v>
      </c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</row>
    <row r="93">
      <c r="A93" s="68"/>
      <c r="B93" s="68"/>
      <c r="C93" s="68"/>
      <c r="D93" s="68"/>
      <c r="E93" s="68"/>
      <c r="F93" s="109" t="s">
        <v>38</v>
      </c>
      <c r="G93" s="33" t="str">
        <f t="shared" ref="G93:H93" si="148">G82/G85</f>
        <v>#DIV/0!</v>
      </c>
      <c r="H93" s="50" t="str">
        <f t="shared" si="148"/>
        <v>#DIV/0!</v>
      </c>
      <c r="I93" s="51" t="str">
        <f t="shared" si="141"/>
        <v>#DIV/0!</v>
      </c>
      <c r="J93" s="52" t="str">
        <f t="shared" si="142"/>
        <v>#DIV/0!</v>
      </c>
      <c r="K93" s="68"/>
      <c r="L93" s="109" t="s">
        <v>38</v>
      </c>
      <c r="M93" s="33" t="str">
        <f t="shared" ref="M93:N93" si="149">M82/M85</f>
        <v>#DIV/0!</v>
      </c>
      <c r="N93" s="50" t="str">
        <f t="shared" si="149"/>
        <v>#DIV/0!</v>
      </c>
      <c r="O93" s="51" t="str">
        <f t="shared" si="144"/>
        <v>#DIV/0!</v>
      </c>
      <c r="P93" s="52" t="str">
        <f t="shared" si="145"/>
        <v>#DIV/0!</v>
      </c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</row>
    <row r="94">
      <c r="A94" s="68"/>
      <c r="B94" s="68"/>
      <c r="C94" s="68"/>
      <c r="D94" s="68"/>
      <c r="E94" s="68"/>
      <c r="F94" s="109" t="s">
        <v>39</v>
      </c>
      <c r="G94" s="33" t="str">
        <f t="shared" ref="G94:H94" si="150">SUM(G83:G84)/G85</f>
        <v>#DIV/0!</v>
      </c>
      <c r="H94" s="50" t="str">
        <f t="shared" si="150"/>
        <v>#DIV/0!</v>
      </c>
      <c r="I94" s="51" t="str">
        <f t="shared" si="141"/>
        <v>#DIV/0!</v>
      </c>
      <c r="J94" s="52" t="str">
        <f t="shared" si="142"/>
        <v>#DIV/0!</v>
      </c>
      <c r="K94" s="68"/>
      <c r="L94" s="109" t="s">
        <v>39</v>
      </c>
      <c r="M94" s="33" t="str">
        <f t="shared" ref="M94:N94" si="151">SUM(M83:M84)/M85</f>
        <v>#DIV/0!</v>
      </c>
      <c r="N94" s="50" t="str">
        <f t="shared" si="151"/>
        <v>#DIV/0!</v>
      </c>
      <c r="O94" s="51" t="str">
        <f t="shared" si="144"/>
        <v>#DIV/0!</v>
      </c>
      <c r="P94" s="52" t="str">
        <f t="shared" si="145"/>
        <v>#DIV/0!</v>
      </c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</row>
    <row r="95">
      <c r="A95" s="68"/>
      <c r="B95" s="68"/>
      <c r="C95" s="68"/>
      <c r="D95" s="68"/>
      <c r="E95" s="68"/>
      <c r="F95" s="109" t="s">
        <v>43</v>
      </c>
      <c r="G95" s="33" t="str">
        <f t="shared" ref="G95:H95" si="152">SUM(G82:G83)/G85</f>
        <v>#DIV/0!</v>
      </c>
      <c r="H95" s="50" t="str">
        <f t="shared" si="152"/>
        <v>#DIV/0!</v>
      </c>
      <c r="I95" s="51" t="str">
        <f t="shared" si="141"/>
        <v>#DIV/0!</v>
      </c>
      <c r="J95" s="52" t="str">
        <f t="shared" si="142"/>
        <v>#DIV/0!</v>
      </c>
      <c r="K95" s="68"/>
      <c r="L95" s="109" t="s">
        <v>43</v>
      </c>
      <c r="M95" s="33" t="str">
        <f t="shared" ref="M95:N95" si="153">SUM(M82:M83)/M85</f>
        <v>#DIV/0!</v>
      </c>
      <c r="N95" s="50" t="str">
        <f t="shared" si="153"/>
        <v>#DIV/0!</v>
      </c>
      <c r="O95" s="51" t="str">
        <f t="shared" si="144"/>
        <v>#DIV/0!</v>
      </c>
      <c r="P95" s="52" t="str">
        <f t="shared" si="145"/>
        <v>#DIV/0!</v>
      </c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</row>
    <row r="96">
      <c r="A96" s="68"/>
      <c r="B96" s="68"/>
      <c r="C96" s="68"/>
      <c r="D96" s="68"/>
      <c r="E96" s="68"/>
      <c r="F96" s="109" t="s">
        <v>44</v>
      </c>
      <c r="G96" s="33" t="str">
        <f t="shared" ref="G96:H96" si="154">SUM(G82:G83)/G86</f>
        <v>#DIV/0!</v>
      </c>
      <c r="H96" s="50" t="str">
        <f t="shared" si="154"/>
        <v>#DIV/0!</v>
      </c>
      <c r="I96" s="51" t="str">
        <f t="shared" si="141"/>
        <v>#DIV/0!</v>
      </c>
      <c r="J96" s="52" t="str">
        <f t="shared" si="142"/>
        <v>#DIV/0!</v>
      </c>
      <c r="K96" s="68"/>
      <c r="L96" s="109" t="s">
        <v>44</v>
      </c>
      <c r="M96" s="33" t="str">
        <f t="shared" ref="M96:N96" si="155">SUM(M82:M83)/M86</f>
        <v>#DIV/0!</v>
      </c>
      <c r="N96" s="50" t="str">
        <f t="shared" si="155"/>
        <v>#DIV/0!</v>
      </c>
      <c r="O96" s="51" t="str">
        <f t="shared" si="144"/>
        <v>#DIV/0!</v>
      </c>
      <c r="P96" s="52" t="str">
        <f t="shared" si="145"/>
        <v>#DIV/0!</v>
      </c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</row>
    <row r="97">
      <c r="A97" s="68"/>
      <c r="B97" s="68"/>
      <c r="C97" s="68"/>
      <c r="D97" s="68"/>
      <c r="E97" s="68"/>
      <c r="F97" s="109" t="s">
        <v>48</v>
      </c>
      <c r="G97" s="64" t="str">
        <f t="shared" ref="G97:H97" si="156">(G82+G83)/G87</f>
        <v>#DIV/0!</v>
      </c>
      <c r="H97" s="65" t="str">
        <f t="shared" si="156"/>
        <v>#DIV/0!</v>
      </c>
      <c r="I97" s="82" t="str">
        <f t="shared" si="141"/>
        <v>#DIV/0!</v>
      </c>
      <c r="J97" s="83" t="str">
        <f t="shared" si="142"/>
        <v>#DIV/0!</v>
      </c>
      <c r="K97" s="68"/>
      <c r="L97" s="109" t="s">
        <v>48</v>
      </c>
      <c r="M97" s="64" t="str">
        <f t="shared" ref="M97:N97" si="157">(M82+M83)/M87</f>
        <v>#DIV/0!</v>
      </c>
      <c r="N97" s="65" t="str">
        <f t="shared" si="157"/>
        <v>#DIV/0!</v>
      </c>
      <c r="O97" s="82" t="str">
        <f t="shared" si="144"/>
        <v>#DIV/0!</v>
      </c>
      <c r="P97" s="83" t="str">
        <f t="shared" si="145"/>
        <v>#DIV/0!</v>
      </c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</row>
    <row r="98">
      <c r="A98" s="68"/>
      <c r="B98" s="68"/>
      <c r="C98" s="68"/>
      <c r="D98" s="68"/>
      <c r="E98" s="68"/>
      <c r="F98" s="14"/>
      <c r="G98" s="68"/>
      <c r="H98" s="68"/>
      <c r="I98" s="68"/>
      <c r="J98" s="32"/>
      <c r="K98" s="68"/>
      <c r="L98" s="14"/>
      <c r="M98" s="68"/>
      <c r="N98" s="68"/>
      <c r="O98" s="68"/>
      <c r="P98" s="32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</row>
    <row r="99">
      <c r="A99" s="68"/>
      <c r="B99" s="68"/>
      <c r="C99" s="68"/>
      <c r="D99" s="68"/>
      <c r="E99" s="68"/>
      <c r="F99" s="14"/>
      <c r="G99" s="70">
        <v>2023.0</v>
      </c>
      <c r="H99" s="70">
        <v>2024.0</v>
      </c>
      <c r="I99" s="68"/>
      <c r="J99" s="32"/>
      <c r="K99" s="68"/>
      <c r="L99" s="14"/>
      <c r="M99" s="70">
        <v>2023.0</v>
      </c>
      <c r="N99" s="70">
        <v>2024.0</v>
      </c>
      <c r="O99" s="68"/>
      <c r="P99" s="32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</row>
    <row r="100">
      <c r="A100" s="68"/>
      <c r="B100" s="68"/>
      <c r="C100" s="68"/>
      <c r="D100" s="68"/>
      <c r="E100" s="68"/>
      <c r="F100" s="14"/>
      <c r="G100" s="79" t="s">
        <v>60</v>
      </c>
      <c r="H100" s="84" t="s">
        <v>61</v>
      </c>
      <c r="I100" s="71" t="s">
        <v>53</v>
      </c>
      <c r="J100" s="32"/>
      <c r="K100" s="68"/>
      <c r="L100" s="14"/>
      <c r="M100" s="79" t="s">
        <v>60</v>
      </c>
      <c r="N100" s="84" t="s">
        <v>61</v>
      </c>
      <c r="O100" s="71" t="s">
        <v>53</v>
      </c>
      <c r="P100" s="32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</row>
    <row r="101">
      <c r="A101" s="68"/>
      <c r="B101" s="68"/>
      <c r="C101" s="68"/>
      <c r="D101" s="68"/>
      <c r="E101" s="68"/>
      <c r="F101" s="14" t="s">
        <v>23</v>
      </c>
      <c r="G101" s="99"/>
      <c r="H101" s="114"/>
      <c r="I101" s="86"/>
      <c r="J101" s="32"/>
      <c r="K101" s="68"/>
      <c r="L101" s="14" t="s">
        <v>23</v>
      </c>
      <c r="M101" s="99"/>
      <c r="N101" s="114"/>
      <c r="O101" s="86"/>
      <c r="P101" s="32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</row>
    <row r="102">
      <c r="A102" s="68"/>
      <c r="B102" s="68"/>
      <c r="C102" s="68"/>
      <c r="D102" s="68"/>
      <c r="E102" s="68"/>
      <c r="F102" s="14" t="s">
        <v>24</v>
      </c>
      <c r="G102" s="101"/>
      <c r="H102" s="112"/>
      <c r="I102" s="87"/>
      <c r="J102" s="32"/>
      <c r="K102" s="68"/>
      <c r="L102" s="14" t="s">
        <v>24</v>
      </c>
      <c r="M102" s="101"/>
      <c r="N102" s="112"/>
      <c r="O102" s="87"/>
      <c r="P102" s="32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</row>
    <row r="103">
      <c r="A103" s="68"/>
      <c r="B103" s="68"/>
      <c r="C103" s="68"/>
      <c r="D103" s="68"/>
      <c r="E103" s="68"/>
      <c r="F103" s="14" t="s">
        <v>25</v>
      </c>
      <c r="G103" s="101"/>
      <c r="H103" s="112"/>
      <c r="I103" s="87"/>
      <c r="J103" s="32"/>
      <c r="K103" s="68"/>
      <c r="L103" s="14" t="s">
        <v>25</v>
      </c>
      <c r="M103" s="101"/>
      <c r="N103" s="112"/>
      <c r="O103" s="87"/>
      <c r="P103" s="32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</row>
    <row r="104">
      <c r="A104" s="68"/>
      <c r="B104" s="68"/>
      <c r="C104" s="68"/>
      <c r="D104" s="68"/>
      <c r="E104" s="68"/>
      <c r="F104" s="14" t="s">
        <v>26</v>
      </c>
      <c r="G104" s="101"/>
      <c r="H104" s="112"/>
      <c r="I104" s="87"/>
      <c r="J104" s="32"/>
      <c r="K104" s="68"/>
      <c r="L104" s="14" t="s">
        <v>26</v>
      </c>
      <c r="M104" s="101"/>
      <c r="N104" s="112"/>
      <c r="O104" s="87"/>
      <c r="P104" s="32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</row>
    <row r="105">
      <c r="A105" s="68"/>
      <c r="B105" s="68"/>
      <c r="C105" s="68"/>
      <c r="D105" s="68"/>
      <c r="E105" s="68"/>
      <c r="F105" s="14" t="s">
        <v>28</v>
      </c>
      <c r="G105" s="101"/>
      <c r="H105" s="112"/>
      <c r="I105" s="87"/>
      <c r="J105" s="32"/>
      <c r="K105" s="68"/>
      <c r="L105" s="14" t="s">
        <v>28</v>
      </c>
      <c r="M105" s="101"/>
      <c r="N105" s="112"/>
      <c r="O105" s="87"/>
      <c r="P105" s="32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</row>
    <row r="106">
      <c r="A106" s="68"/>
      <c r="B106" s="68"/>
      <c r="C106" s="68"/>
      <c r="D106" s="68"/>
      <c r="E106" s="68"/>
      <c r="F106" s="14" t="s">
        <v>29</v>
      </c>
      <c r="G106" s="101"/>
      <c r="H106" s="112"/>
      <c r="I106" s="87"/>
      <c r="J106" s="32"/>
      <c r="K106" s="68"/>
      <c r="L106" s="14" t="s">
        <v>29</v>
      </c>
      <c r="M106" s="101"/>
      <c r="N106" s="112"/>
      <c r="O106" s="87"/>
      <c r="P106" s="32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</row>
    <row r="107">
      <c r="A107" s="68"/>
      <c r="B107" s="68"/>
      <c r="C107" s="68"/>
      <c r="D107" s="68"/>
      <c r="E107" s="68"/>
      <c r="F107" s="14" t="s">
        <v>31</v>
      </c>
      <c r="G107" s="101"/>
      <c r="H107" s="112"/>
      <c r="I107" s="87"/>
      <c r="J107" s="32"/>
      <c r="K107" s="68"/>
      <c r="L107" s="14" t="s">
        <v>31</v>
      </c>
      <c r="M107" s="101"/>
      <c r="N107" s="112"/>
      <c r="O107" s="87"/>
      <c r="P107" s="32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</row>
    <row r="108">
      <c r="A108" s="68"/>
      <c r="B108" s="68"/>
      <c r="C108" s="68"/>
      <c r="D108" s="68"/>
      <c r="E108" s="68"/>
      <c r="F108" s="14" t="s">
        <v>30</v>
      </c>
      <c r="G108" s="101"/>
      <c r="H108" s="112"/>
      <c r="I108" s="87"/>
      <c r="J108" s="32"/>
      <c r="K108" s="68"/>
      <c r="L108" s="14" t="s">
        <v>30</v>
      </c>
      <c r="M108" s="101"/>
      <c r="N108" s="112"/>
      <c r="O108" s="87"/>
      <c r="P108" s="32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</row>
    <row r="109">
      <c r="A109" s="68"/>
      <c r="B109" s="68"/>
      <c r="C109" s="68"/>
      <c r="D109" s="68"/>
      <c r="E109" s="68"/>
      <c r="F109" s="109" t="s">
        <v>34</v>
      </c>
      <c r="G109" s="46" t="str">
        <f t="shared" ref="G109:H109" si="158">G107/G104</f>
        <v>#DIV/0!</v>
      </c>
      <c r="H109" s="67" t="str">
        <f t="shared" si="158"/>
        <v>#DIV/0!</v>
      </c>
      <c r="I109" s="67" t="str">
        <f t="shared" ref="I109:I116" si="161">(H109-G109)/G109</f>
        <v>#DIV/0!</v>
      </c>
      <c r="J109" s="52"/>
      <c r="K109" s="68"/>
      <c r="L109" s="109" t="s">
        <v>34</v>
      </c>
      <c r="M109" s="46" t="str">
        <f t="shared" ref="M109:N109" si="159">M107/M104</f>
        <v>#DIV/0!</v>
      </c>
      <c r="N109" s="67" t="str">
        <f t="shared" si="159"/>
        <v>#DIV/0!</v>
      </c>
      <c r="O109" s="67" t="str">
        <f t="shared" ref="O109:O116" si="163">(N109-M109)/M109</f>
        <v>#DIV/0!</v>
      </c>
      <c r="P109" s="52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</row>
    <row r="110">
      <c r="A110" s="68"/>
      <c r="B110" s="68"/>
      <c r="C110" s="68"/>
      <c r="D110" s="68"/>
      <c r="E110" s="68"/>
      <c r="F110" s="109" t="s">
        <v>32</v>
      </c>
      <c r="G110" s="46" t="str">
        <f t="shared" ref="G110:H110" si="160">G108/G104</f>
        <v>#DIV/0!</v>
      </c>
      <c r="H110" s="67" t="str">
        <f t="shared" si="160"/>
        <v>#DIV/0!</v>
      </c>
      <c r="I110" s="67" t="str">
        <f t="shared" si="161"/>
        <v>#DIV/0!</v>
      </c>
      <c r="J110" s="52"/>
      <c r="K110" s="68"/>
      <c r="L110" s="109" t="s">
        <v>32</v>
      </c>
      <c r="M110" s="46" t="str">
        <f t="shared" ref="M110:N110" si="162">M108/M104</f>
        <v>#DIV/0!</v>
      </c>
      <c r="N110" s="67" t="str">
        <f t="shared" si="162"/>
        <v>#DIV/0!</v>
      </c>
      <c r="O110" s="67" t="str">
        <f t="shared" si="163"/>
        <v>#DIV/0!</v>
      </c>
      <c r="P110" s="52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</row>
    <row r="111">
      <c r="A111" s="68"/>
      <c r="B111" s="68"/>
      <c r="C111" s="68"/>
      <c r="D111" s="68"/>
      <c r="E111" s="68"/>
      <c r="F111" s="109" t="s">
        <v>33</v>
      </c>
      <c r="G111" s="33" t="str">
        <f t="shared" ref="G111:H111" si="164">G103/G104</f>
        <v>#DIV/0!</v>
      </c>
      <c r="H111" s="34" t="str">
        <f t="shared" si="164"/>
        <v>#DIV/0!</v>
      </c>
      <c r="I111" s="67" t="str">
        <f t="shared" si="161"/>
        <v>#DIV/0!</v>
      </c>
      <c r="J111" s="52"/>
      <c r="K111" s="68"/>
      <c r="L111" s="109" t="s">
        <v>33</v>
      </c>
      <c r="M111" s="33" t="str">
        <f t="shared" ref="M111:N111" si="165">M103/M104</f>
        <v>#DIV/0!</v>
      </c>
      <c r="N111" s="34" t="str">
        <f t="shared" si="165"/>
        <v>#DIV/0!</v>
      </c>
      <c r="O111" s="67" t="str">
        <f t="shared" si="163"/>
        <v>#DIV/0!</v>
      </c>
      <c r="P111" s="52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</row>
    <row r="112">
      <c r="A112" s="68"/>
      <c r="B112" s="68"/>
      <c r="C112" s="68"/>
      <c r="D112" s="68"/>
      <c r="E112" s="68"/>
      <c r="F112" s="109" t="s">
        <v>38</v>
      </c>
      <c r="G112" s="33" t="str">
        <f t="shared" ref="G112:H112" si="166">G101/G104</f>
        <v>#DIV/0!</v>
      </c>
      <c r="H112" s="34" t="str">
        <f t="shared" si="166"/>
        <v>#DIV/0!</v>
      </c>
      <c r="I112" s="67" t="str">
        <f t="shared" si="161"/>
        <v>#DIV/0!</v>
      </c>
      <c r="J112" s="52"/>
      <c r="K112" s="68"/>
      <c r="L112" s="109" t="s">
        <v>38</v>
      </c>
      <c r="M112" s="33" t="str">
        <f t="shared" ref="M112:N112" si="167">M101/M104</f>
        <v>#DIV/0!</v>
      </c>
      <c r="N112" s="34" t="str">
        <f t="shared" si="167"/>
        <v>#DIV/0!</v>
      </c>
      <c r="O112" s="67" t="str">
        <f t="shared" si="163"/>
        <v>#DIV/0!</v>
      </c>
      <c r="P112" s="52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</row>
    <row r="113">
      <c r="A113" s="68"/>
      <c r="B113" s="68"/>
      <c r="C113" s="68"/>
      <c r="D113" s="68"/>
      <c r="E113" s="68"/>
      <c r="F113" s="109" t="s">
        <v>39</v>
      </c>
      <c r="G113" s="33" t="str">
        <f t="shared" ref="G113:H113" si="168">SUM(G102:G103)/G104</f>
        <v>#DIV/0!</v>
      </c>
      <c r="H113" s="34" t="str">
        <f t="shared" si="168"/>
        <v>#DIV/0!</v>
      </c>
      <c r="I113" s="67" t="str">
        <f t="shared" si="161"/>
        <v>#DIV/0!</v>
      </c>
      <c r="J113" s="52"/>
      <c r="K113" s="68"/>
      <c r="L113" s="109" t="s">
        <v>39</v>
      </c>
      <c r="M113" s="33" t="str">
        <f t="shared" ref="M113:N113" si="169">SUM(M102:M103)/M104</f>
        <v>#DIV/0!</v>
      </c>
      <c r="N113" s="34" t="str">
        <f t="shared" si="169"/>
        <v>#DIV/0!</v>
      </c>
      <c r="O113" s="67" t="str">
        <f t="shared" si="163"/>
        <v>#DIV/0!</v>
      </c>
      <c r="P113" s="52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</row>
    <row r="114">
      <c r="A114" s="68"/>
      <c r="B114" s="68"/>
      <c r="C114" s="68"/>
      <c r="D114" s="68"/>
      <c r="E114" s="68"/>
      <c r="F114" s="109" t="s">
        <v>43</v>
      </c>
      <c r="G114" s="33" t="str">
        <f t="shared" ref="G114:H114" si="170">SUM(G101:G102)/G104</f>
        <v>#DIV/0!</v>
      </c>
      <c r="H114" s="34" t="str">
        <f t="shared" si="170"/>
        <v>#DIV/0!</v>
      </c>
      <c r="I114" s="67" t="str">
        <f t="shared" si="161"/>
        <v>#DIV/0!</v>
      </c>
      <c r="J114" s="52"/>
      <c r="K114" s="68"/>
      <c r="L114" s="109" t="s">
        <v>43</v>
      </c>
      <c r="M114" s="33" t="str">
        <f t="shared" ref="M114:N114" si="171">SUM(M101:M102)/M104</f>
        <v>#DIV/0!</v>
      </c>
      <c r="N114" s="34" t="str">
        <f t="shared" si="171"/>
        <v>#DIV/0!</v>
      </c>
      <c r="O114" s="67" t="str">
        <f t="shared" si="163"/>
        <v>#DIV/0!</v>
      </c>
      <c r="P114" s="52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</row>
    <row r="115">
      <c r="A115" s="68"/>
      <c r="B115" s="68"/>
      <c r="C115" s="68"/>
      <c r="D115" s="68"/>
      <c r="E115" s="68"/>
      <c r="F115" s="109" t="s">
        <v>44</v>
      </c>
      <c r="G115" s="33" t="str">
        <f t="shared" ref="G115:H115" si="172">SUM(G101:G102)/G105</f>
        <v>#DIV/0!</v>
      </c>
      <c r="H115" s="34" t="str">
        <f t="shared" si="172"/>
        <v>#DIV/0!</v>
      </c>
      <c r="I115" s="67" t="str">
        <f t="shared" si="161"/>
        <v>#DIV/0!</v>
      </c>
      <c r="J115" s="52"/>
      <c r="K115" s="68"/>
      <c r="L115" s="109" t="s">
        <v>44</v>
      </c>
      <c r="M115" s="33" t="str">
        <f t="shared" ref="M115:N115" si="173">SUM(M101:M102)/M105</f>
        <v>#DIV/0!</v>
      </c>
      <c r="N115" s="34" t="str">
        <f t="shared" si="173"/>
        <v>#DIV/0!</v>
      </c>
      <c r="O115" s="67" t="str">
        <f t="shared" si="163"/>
        <v>#DIV/0!</v>
      </c>
      <c r="P115" s="52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</row>
    <row r="116">
      <c r="A116" s="68"/>
      <c r="B116" s="68"/>
      <c r="C116" s="68"/>
      <c r="D116" s="68"/>
      <c r="E116" s="68"/>
      <c r="F116" s="110" t="s">
        <v>48</v>
      </c>
      <c r="G116" s="55" t="str">
        <f t="shared" ref="G116:H116" si="174">(G101+G102)/G106</f>
        <v>#DIV/0!</v>
      </c>
      <c r="H116" s="76" t="str">
        <f t="shared" si="174"/>
        <v>#DIV/0!</v>
      </c>
      <c r="I116" s="89" t="str">
        <f t="shared" si="161"/>
        <v>#DIV/0!</v>
      </c>
      <c r="J116" s="77"/>
      <c r="K116" s="68"/>
      <c r="L116" s="110" t="s">
        <v>48</v>
      </c>
      <c r="M116" s="55" t="str">
        <f t="shared" ref="M116:N116" si="175">(M101+M102)/M106</f>
        <v>#DIV/0!</v>
      </c>
      <c r="N116" s="76" t="str">
        <f t="shared" si="175"/>
        <v>#DIV/0!</v>
      </c>
      <c r="O116" s="89" t="str">
        <f t="shared" si="163"/>
        <v>#DIV/0!</v>
      </c>
      <c r="P116" s="77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</row>
    <row r="118">
      <c r="A118" s="68"/>
      <c r="B118" s="68"/>
      <c r="C118" s="68"/>
      <c r="D118" s="68"/>
      <c r="E118" s="68"/>
      <c r="F118" s="60" t="s">
        <v>40</v>
      </c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</row>
    <row r="119">
      <c r="A119" s="68"/>
      <c r="B119" s="68"/>
      <c r="C119" s="68"/>
      <c r="D119" s="68"/>
      <c r="E119" s="68"/>
      <c r="F119" s="60" t="s">
        <v>45</v>
      </c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</row>
  </sheetData>
  <conditionalFormatting sqref="I13:J116">
    <cfRule type="cellIs" dxfId="1" priority="1" operator="greaterThan">
      <formula>0</formula>
    </cfRule>
  </conditionalFormatting>
  <conditionalFormatting sqref="I13:J116">
    <cfRule type="cellIs" dxfId="0" priority="2" operator="lessThan">
      <formula>0</formula>
    </cfRule>
  </conditionalFormatting>
  <conditionalFormatting sqref="O13:P116">
    <cfRule type="cellIs" dxfId="1" priority="3" operator="greaterThan">
      <formula>0</formula>
    </cfRule>
  </conditionalFormatting>
  <conditionalFormatting sqref="O13:P116">
    <cfRule type="cellIs" dxfId="0" priority="4" operator="lessThan">
      <formula>0</formula>
    </cfRule>
  </conditionalFormatting>
  <conditionalFormatting sqref="U11:V45">
    <cfRule type="cellIs" dxfId="1" priority="5" operator="greaterThan">
      <formula>0</formula>
    </cfRule>
  </conditionalFormatting>
  <conditionalFormatting sqref="U11:V45">
    <cfRule type="cellIs" dxfId="0" priority="6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0.13"/>
    <col customWidth="1" min="4" max="4" width="18.63"/>
    <col customWidth="1" min="5" max="5" width="21.13"/>
    <col customWidth="1" min="6" max="6" width="23.88"/>
  </cols>
  <sheetData>
    <row r="2">
      <c r="B2" s="68"/>
      <c r="C2" s="115" t="s">
        <v>87</v>
      </c>
      <c r="D2" s="116" t="s">
        <v>88</v>
      </c>
      <c r="E2" s="115" t="s">
        <v>89</v>
      </c>
      <c r="F2" s="68"/>
      <c r="G2" s="68"/>
      <c r="H2" s="68"/>
      <c r="I2" s="68"/>
      <c r="J2" s="68"/>
      <c r="K2" s="68"/>
    </row>
    <row r="3">
      <c r="B3" s="68"/>
      <c r="C3" s="68" t="s">
        <v>90</v>
      </c>
      <c r="D3" s="68" t="s">
        <v>91</v>
      </c>
      <c r="E3" s="68" t="s">
        <v>92</v>
      </c>
      <c r="F3" s="90" t="s">
        <v>93</v>
      </c>
      <c r="G3" s="68" t="s">
        <v>94</v>
      </c>
      <c r="H3" s="68"/>
      <c r="J3" s="68"/>
      <c r="K3" s="68"/>
    </row>
    <row r="4">
      <c r="B4" s="68" t="s">
        <v>95</v>
      </c>
      <c r="C4" s="117">
        <v>314.0</v>
      </c>
      <c r="D4" s="117">
        <v>371.0</v>
      </c>
      <c r="E4" s="117">
        <v>215.0</v>
      </c>
      <c r="F4" s="86"/>
      <c r="G4" s="86"/>
      <c r="H4" s="68"/>
      <c r="J4" s="68"/>
      <c r="K4" s="68"/>
    </row>
    <row r="5">
      <c r="B5" s="68" t="s">
        <v>96</v>
      </c>
      <c r="C5" s="20">
        <v>17.0</v>
      </c>
      <c r="D5" s="20">
        <v>15.0</v>
      </c>
      <c r="E5" s="20">
        <v>7.0</v>
      </c>
      <c r="F5" s="87"/>
      <c r="G5" s="87"/>
      <c r="H5" s="68"/>
      <c r="J5" s="68"/>
      <c r="K5" s="68"/>
    </row>
    <row r="6">
      <c r="B6" s="68" t="s">
        <v>97</v>
      </c>
      <c r="C6" s="118">
        <f t="shared" ref="C6:E6" si="1">C4/C5</f>
        <v>18.47058824</v>
      </c>
      <c r="D6" s="118">
        <f t="shared" si="1"/>
        <v>24.73333333</v>
      </c>
      <c r="E6" s="118">
        <f t="shared" si="1"/>
        <v>30.71428571</v>
      </c>
      <c r="F6" s="119">
        <f>(C6-D6)/D6</f>
        <v>-0.2532107182</v>
      </c>
      <c r="G6" s="120">
        <f>(E6-C6)/C6</f>
        <v>0.6628753412</v>
      </c>
      <c r="H6" s="68"/>
      <c r="J6" s="68"/>
      <c r="K6" s="68"/>
    </row>
    <row r="7">
      <c r="B7" s="68"/>
      <c r="C7" s="68"/>
      <c r="D7" s="68"/>
      <c r="E7" s="68"/>
      <c r="F7" s="68"/>
      <c r="G7" s="68"/>
      <c r="H7" s="68"/>
      <c r="J7" s="68"/>
      <c r="K7" s="68"/>
    </row>
    <row r="8">
      <c r="B8" s="78" t="s">
        <v>98</v>
      </c>
      <c r="C8" s="5"/>
      <c r="D8" s="5"/>
      <c r="E8" s="5"/>
      <c r="F8" s="9"/>
      <c r="G8" s="68"/>
      <c r="H8" s="68"/>
      <c r="I8" s="68"/>
      <c r="J8" s="68"/>
      <c r="K8" s="68"/>
    </row>
    <row r="9">
      <c r="B9" s="10" t="s">
        <v>99</v>
      </c>
      <c r="C9" s="115" t="s">
        <v>100</v>
      </c>
      <c r="D9" s="115" t="s">
        <v>101</v>
      </c>
      <c r="E9" s="68"/>
      <c r="F9" s="32"/>
      <c r="G9" s="68"/>
      <c r="H9" s="68"/>
      <c r="I9" s="68"/>
      <c r="J9" s="68"/>
      <c r="K9" s="68"/>
    </row>
    <row r="10">
      <c r="B10" s="14"/>
      <c r="C10" s="86" t="s">
        <v>102</v>
      </c>
      <c r="D10" s="86" t="s">
        <v>103</v>
      </c>
      <c r="E10" s="86" t="s">
        <v>104</v>
      </c>
      <c r="F10" s="121" t="s">
        <v>105</v>
      </c>
      <c r="G10" s="68"/>
    </row>
    <row r="11">
      <c r="B11" s="14" t="s">
        <v>23</v>
      </c>
      <c r="C11" s="29"/>
      <c r="D11" s="29"/>
      <c r="E11" s="87"/>
      <c r="F11" s="122"/>
      <c r="G11" s="68"/>
    </row>
    <row r="12">
      <c r="B12" s="14" t="s">
        <v>24</v>
      </c>
      <c r="C12" s="29"/>
      <c r="D12" s="29"/>
      <c r="E12" s="87"/>
      <c r="F12" s="122"/>
      <c r="G12" s="68"/>
    </row>
    <row r="13">
      <c r="B13" s="14" t="s">
        <v>26</v>
      </c>
      <c r="C13" s="20"/>
      <c r="D13" s="123"/>
      <c r="E13" s="87"/>
      <c r="F13" s="122"/>
      <c r="G13" s="68"/>
    </row>
    <row r="14">
      <c r="B14" s="110" t="s">
        <v>106</v>
      </c>
      <c r="C14" s="124" t="str">
        <f t="shared" ref="C14:D14" si="2">(C11+C12)/C13</f>
        <v>#DIV/0!</v>
      </c>
      <c r="D14" s="124" t="str">
        <f t="shared" si="2"/>
        <v>#DIV/0!</v>
      </c>
      <c r="E14" s="111" t="str">
        <f>(D14-C14)/C14</f>
        <v>#DIV/0!</v>
      </c>
      <c r="F14" s="125" t="str">
        <f>E14-E37</f>
        <v>#DIV/0!</v>
      </c>
      <c r="G14" s="68"/>
    </row>
    <row r="15">
      <c r="B15" s="68"/>
      <c r="C15" s="68"/>
      <c r="D15" s="68"/>
      <c r="E15" s="68"/>
      <c r="F15" s="68"/>
      <c r="G15" s="68"/>
    </row>
    <row r="16">
      <c r="B16" s="78" t="s">
        <v>107</v>
      </c>
      <c r="C16" s="5"/>
      <c r="D16" s="5"/>
      <c r="E16" s="5"/>
      <c r="F16" s="9"/>
      <c r="G16" s="68"/>
      <c r="H16" s="68"/>
      <c r="I16" s="68"/>
      <c r="J16" s="68"/>
      <c r="K16" s="68"/>
    </row>
    <row r="17">
      <c r="B17" s="10" t="s">
        <v>99</v>
      </c>
      <c r="C17" s="115" t="s">
        <v>100</v>
      </c>
      <c r="D17" s="115" t="s">
        <v>101</v>
      </c>
      <c r="E17" s="68"/>
      <c r="F17" s="32"/>
      <c r="G17" s="68"/>
      <c r="H17" s="68"/>
      <c r="I17" s="68"/>
      <c r="J17" s="68"/>
      <c r="K17" s="68"/>
    </row>
    <row r="18">
      <c r="B18" s="14"/>
      <c r="C18" s="86" t="s">
        <v>108</v>
      </c>
      <c r="D18" s="86" t="s">
        <v>109</v>
      </c>
      <c r="E18" s="86" t="s">
        <v>110</v>
      </c>
      <c r="F18" s="126" t="s">
        <v>111</v>
      </c>
      <c r="G18" s="68"/>
      <c r="H18" s="68"/>
      <c r="I18" s="68"/>
      <c r="J18" s="68"/>
      <c r="K18" s="68"/>
    </row>
    <row r="19">
      <c r="B19" s="14" t="s">
        <v>23</v>
      </c>
      <c r="C19" s="29"/>
      <c r="D19" s="29"/>
      <c r="E19" s="87"/>
      <c r="F19" s="122"/>
      <c r="G19" s="68"/>
      <c r="H19" s="68"/>
      <c r="I19" s="68"/>
      <c r="J19" s="68"/>
      <c r="K19" s="68"/>
    </row>
    <row r="20">
      <c r="B20" s="14" t="s">
        <v>24</v>
      </c>
      <c r="C20" s="29"/>
      <c r="D20" s="29"/>
      <c r="E20" s="87"/>
      <c r="F20" s="122"/>
      <c r="G20" s="68"/>
      <c r="H20" s="68"/>
      <c r="I20" s="68"/>
      <c r="J20" s="68"/>
      <c r="K20" s="68"/>
    </row>
    <row r="21">
      <c r="B21" s="14" t="s">
        <v>26</v>
      </c>
      <c r="C21" s="20"/>
      <c r="D21" s="20"/>
      <c r="E21" s="87"/>
      <c r="F21" s="122"/>
      <c r="G21" s="68"/>
      <c r="H21" s="68"/>
      <c r="I21" s="68"/>
      <c r="J21" s="68"/>
      <c r="K21" s="68"/>
    </row>
    <row r="22">
      <c r="B22" s="110" t="s">
        <v>106</v>
      </c>
      <c r="C22" s="124" t="str">
        <f t="shared" ref="C22:D22" si="3">(C19+C20)/C21</f>
        <v>#DIV/0!</v>
      </c>
      <c r="D22" s="124" t="str">
        <f t="shared" si="3"/>
        <v>#DIV/0!</v>
      </c>
      <c r="E22" s="111" t="str">
        <f>(D22-C22)/C22</f>
        <v>#DIV/0!</v>
      </c>
      <c r="F22" s="57" t="str">
        <f>E22-E37</f>
        <v>#DIV/0!</v>
      </c>
      <c r="G22" s="68"/>
      <c r="H22" s="68"/>
      <c r="I22" s="68"/>
      <c r="J22" s="68"/>
      <c r="K22" s="68"/>
    </row>
    <row r="23"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>
      <c r="B24" s="78" t="s">
        <v>112</v>
      </c>
      <c r="C24" s="5"/>
      <c r="D24" s="5"/>
      <c r="E24" s="5"/>
      <c r="F24" s="9"/>
      <c r="G24" s="68"/>
      <c r="H24" s="68"/>
      <c r="I24" s="68"/>
      <c r="J24" s="68"/>
      <c r="K24" s="68"/>
    </row>
    <row r="25">
      <c r="B25" s="10" t="s">
        <v>99</v>
      </c>
      <c r="C25" s="115" t="s">
        <v>100</v>
      </c>
      <c r="D25" s="115" t="s">
        <v>101</v>
      </c>
      <c r="E25" s="68"/>
      <c r="F25" s="32"/>
      <c r="G25" s="68"/>
      <c r="H25" s="68"/>
      <c r="I25" s="68"/>
      <c r="J25" s="68"/>
      <c r="K25" s="68"/>
    </row>
    <row r="26">
      <c r="B26" s="14"/>
      <c r="C26" s="86" t="s">
        <v>113</v>
      </c>
      <c r="D26" s="86" t="s">
        <v>114</v>
      </c>
      <c r="E26" s="86" t="s">
        <v>115</v>
      </c>
      <c r="F26" s="126" t="s">
        <v>116</v>
      </c>
      <c r="G26" s="68"/>
      <c r="H26" s="68"/>
      <c r="I26" s="68"/>
      <c r="J26" s="68"/>
      <c r="K26" s="68"/>
    </row>
    <row r="27">
      <c r="B27" s="14" t="s">
        <v>23</v>
      </c>
      <c r="C27" s="29"/>
      <c r="D27" s="29"/>
      <c r="E27" s="87"/>
      <c r="F27" s="122"/>
      <c r="G27" s="68"/>
      <c r="H27" s="68"/>
      <c r="I27" s="68"/>
      <c r="J27" s="68"/>
      <c r="K27" s="68"/>
    </row>
    <row r="28">
      <c r="B28" s="14" t="s">
        <v>24</v>
      </c>
      <c r="C28" s="29"/>
      <c r="D28" s="29"/>
      <c r="E28" s="87"/>
      <c r="F28" s="122"/>
      <c r="G28" s="68"/>
      <c r="H28" s="68"/>
      <c r="I28" s="68"/>
      <c r="J28" s="68"/>
      <c r="K28" s="68"/>
    </row>
    <row r="29">
      <c r="B29" s="14" t="s">
        <v>26</v>
      </c>
      <c r="C29" s="20"/>
      <c r="D29" s="20"/>
      <c r="E29" s="87"/>
      <c r="F29" s="122"/>
      <c r="G29" s="68"/>
      <c r="H29" s="68"/>
      <c r="I29" s="68"/>
      <c r="J29" s="68"/>
      <c r="K29" s="68"/>
    </row>
    <row r="30">
      <c r="B30" s="110" t="s">
        <v>106</v>
      </c>
      <c r="C30" s="124" t="str">
        <f t="shared" ref="C30:D30" si="4">(C27+C28)/C29</f>
        <v>#DIV/0!</v>
      </c>
      <c r="D30" s="124" t="str">
        <f t="shared" si="4"/>
        <v>#DIV/0!</v>
      </c>
      <c r="E30" s="111" t="str">
        <f>(D30-C30)/C30</f>
        <v>#DIV/0!</v>
      </c>
      <c r="F30" s="125" t="str">
        <f>E30-E37</f>
        <v>#DIV/0!</v>
      </c>
      <c r="G30" s="68"/>
      <c r="H30" s="68"/>
      <c r="I30" s="68"/>
      <c r="J30" s="68"/>
      <c r="K30" s="68"/>
    </row>
    <row r="31">
      <c r="G31" s="68"/>
      <c r="H31" s="68"/>
      <c r="I31" s="68"/>
      <c r="J31" s="68"/>
      <c r="K31" s="68"/>
    </row>
    <row r="32">
      <c r="B32" s="3"/>
      <c r="C32" s="8" t="s">
        <v>117</v>
      </c>
      <c r="D32" s="8" t="s">
        <v>118</v>
      </c>
      <c r="E32" s="9"/>
      <c r="G32" s="68"/>
      <c r="H32" s="68"/>
      <c r="I32" s="68"/>
      <c r="J32" s="68"/>
      <c r="K32" s="68"/>
    </row>
    <row r="33">
      <c r="B33" s="127" t="s">
        <v>119</v>
      </c>
      <c r="C33" s="68" t="s">
        <v>120</v>
      </c>
      <c r="D33" s="68" t="s">
        <v>121</v>
      </c>
      <c r="E33" s="32" t="s">
        <v>53</v>
      </c>
    </row>
    <row r="34">
      <c r="B34" s="14" t="s">
        <v>23</v>
      </c>
      <c r="C34" s="26"/>
      <c r="D34" s="11"/>
      <c r="E34" s="126"/>
    </row>
    <row r="35">
      <c r="B35" s="14" t="s">
        <v>24</v>
      </c>
      <c r="C35" s="33"/>
      <c r="D35" s="29"/>
      <c r="E35" s="122"/>
    </row>
    <row r="36">
      <c r="B36" s="14" t="s">
        <v>26</v>
      </c>
      <c r="C36" s="128"/>
      <c r="D36" s="20"/>
      <c r="E36" s="122"/>
    </row>
    <row r="37">
      <c r="B37" s="110" t="s">
        <v>106</v>
      </c>
      <c r="C37" s="55" t="str">
        <f t="shared" ref="C37:D37" si="5">(C34+C35)/C36</f>
        <v>#DIV/0!</v>
      </c>
      <c r="D37" s="55" t="str">
        <f t="shared" si="5"/>
        <v>#DIV/0!</v>
      </c>
      <c r="E37" s="57" t="str">
        <f>(D37-C37)/C37</f>
        <v>#DIV/0!</v>
      </c>
    </row>
    <row r="39">
      <c r="B39" s="60" t="s">
        <v>122</v>
      </c>
    </row>
    <row r="40">
      <c r="B40" s="60" t="s">
        <v>45</v>
      </c>
    </row>
  </sheetData>
  <conditionalFormatting sqref="E37">
    <cfRule type="cellIs" dxfId="1" priority="1" operator="greaterThan">
      <formula>0</formula>
    </cfRule>
  </conditionalFormatting>
  <conditionalFormatting sqref="E37">
    <cfRule type="cellIs" dxfId="0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</cols>
  <sheetData>
    <row r="2">
      <c r="B2" s="3"/>
      <c r="C2" s="8" t="s">
        <v>123</v>
      </c>
      <c r="D2" s="8" t="s">
        <v>124</v>
      </c>
      <c r="E2" s="9"/>
    </row>
    <row r="3">
      <c r="B3" s="129"/>
      <c r="C3" s="79" t="s">
        <v>125</v>
      </c>
      <c r="D3" s="71" t="s">
        <v>126</v>
      </c>
      <c r="E3" s="18" t="s">
        <v>20</v>
      </c>
    </row>
    <row r="4">
      <c r="B4" s="129" t="s">
        <v>127</v>
      </c>
      <c r="C4" s="130"/>
      <c r="D4" s="117"/>
      <c r="E4" s="126"/>
    </row>
    <row r="5">
      <c r="B5" s="131" t="s">
        <v>10</v>
      </c>
      <c r="C5" s="132"/>
      <c r="D5" s="123"/>
      <c r="E5" s="122"/>
    </row>
    <row r="6">
      <c r="B6" s="131" t="s">
        <v>128</v>
      </c>
      <c r="C6" s="132"/>
      <c r="D6" s="123"/>
      <c r="E6" s="122"/>
    </row>
    <row r="7">
      <c r="B7" s="131" t="s">
        <v>129</v>
      </c>
      <c r="C7" s="133"/>
      <c r="D7" s="134"/>
      <c r="E7" s="135"/>
    </row>
    <row r="8">
      <c r="B8" s="131" t="s">
        <v>130</v>
      </c>
      <c r="C8" s="133"/>
      <c r="D8" s="134"/>
      <c r="E8" s="135"/>
    </row>
    <row r="9">
      <c r="B9" s="136" t="s">
        <v>131</v>
      </c>
      <c r="C9" s="137" t="str">
        <f t="shared" ref="C9:D9" si="1">(C6+C7)/C8</f>
        <v>#DIV/0!</v>
      </c>
      <c r="D9" s="137" t="str">
        <f t="shared" si="1"/>
        <v>#DIV/0!</v>
      </c>
      <c r="E9" s="138"/>
    </row>
    <row r="10">
      <c r="B10" s="136" t="s">
        <v>132</v>
      </c>
      <c r="C10" s="137" t="str">
        <f t="shared" ref="C10:D10" si="2">C6/C8</f>
        <v>#DIV/0!</v>
      </c>
      <c r="D10" s="137" t="str">
        <f t="shared" si="2"/>
        <v>#DIV/0!</v>
      </c>
      <c r="E10" s="138"/>
    </row>
    <row r="11">
      <c r="B11" s="136" t="s">
        <v>133</v>
      </c>
      <c r="C11" s="137" t="str">
        <f t="shared" ref="C11:D11" si="3">C7/C5</f>
        <v>#DIV/0!</v>
      </c>
      <c r="D11" s="137" t="str">
        <f t="shared" si="3"/>
        <v>#DIV/0!</v>
      </c>
      <c r="E11" s="138"/>
    </row>
    <row r="12">
      <c r="B12" s="136" t="s">
        <v>134</v>
      </c>
      <c r="C12" s="137" t="str">
        <f t="shared" ref="C12:D12" si="4">C6/C4*60</f>
        <v>#DIV/0!</v>
      </c>
      <c r="D12" s="137" t="str">
        <f t="shared" si="4"/>
        <v>#DIV/0!</v>
      </c>
      <c r="E12" s="138"/>
    </row>
    <row r="13">
      <c r="B13" s="139" t="s">
        <v>135</v>
      </c>
      <c r="C13" s="140" t="str">
        <f t="shared" ref="C13:D13" si="5">C6/C5*60</f>
        <v>#DIV/0!</v>
      </c>
      <c r="D13" s="140" t="str">
        <f t="shared" si="5"/>
        <v>#DIV/0!</v>
      </c>
      <c r="E13" s="125"/>
    </row>
    <row r="14">
      <c r="B14" s="68"/>
      <c r="C14" s="68"/>
      <c r="D14" s="68"/>
      <c r="E14" s="68"/>
    </row>
    <row r="15">
      <c r="B15" s="116" t="s">
        <v>122</v>
      </c>
      <c r="C15" s="68"/>
      <c r="D15" s="68"/>
      <c r="E15" s="68"/>
    </row>
    <row r="19">
      <c r="B19" s="1" t="s">
        <v>136</v>
      </c>
    </row>
    <row r="20">
      <c r="B20" s="1" t="s">
        <v>137</v>
      </c>
    </row>
    <row r="21">
      <c r="B21" s="60" t="s">
        <v>138</v>
      </c>
    </row>
    <row r="22">
      <c r="B22" s="1" t="s">
        <v>139</v>
      </c>
    </row>
    <row r="23">
      <c r="B23" s="1" t="s">
        <v>140</v>
      </c>
    </row>
  </sheetData>
  <drawing r:id="rId1"/>
</worksheet>
</file>